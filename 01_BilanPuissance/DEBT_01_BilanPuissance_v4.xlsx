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" sheetId="1" state="visible" r:id="rId3"/>
    <sheet name="Synthese" sheetId="2" state="visible" r:id="rId4"/>
    <sheet name="Souscription" sheetId="3" state="visible" r:id="rId5"/>
    <sheet name="Parametres" sheetId="4" state="visible" r:id="rId6"/>
    <sheet name="Regist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4" authorId="0">
      <text>
        <r>
          <rPr>
            <sz val="10"/>
            <rFont val="Arial"/>
            <family val="2"/>
          </rPr>
          <t xml:space="preserve">Courant global de la zone, sous 230 V ; il sera réparti sur plusieurs circuits au J3.</t>
        </r>
      </text>
    </comment>
    <comment ref="O15" authorId="0">
      <text>
        <r>
          <rPr>
            <sz val="10"/>
            <rFont val="Arial"/>
            <family val="2"/>
          </rPr>
          <t xml:space="preserve">Courant global de la zone, sous 230 V ; il sera réparti sur plusieurs circuits au J3.</t>
        </r>
      </text>
    </comment>
    <comment ref="O16" authorId="0">
      <text>
        <r>
          <rPr>
            <sz val="10"/>
            <rFont val="Arial"/>
            <family val="2"/>
          </rPr>
          <t xml:space="preserve">Courant global de la zone, sous 230 V ; il sera réparti sur plusieurs circuits au J3.</t>
        </r>
      </text>
    </comment>
    <comment ref="O17" authorId="0">
      <text>
        <r>
          <rPr>
            <sz val="10"/>
            <rFont val="Arial"/>
            <family val="2"/>
          </rPr>
          <t xml:space="preserve">Courant global de la zone, sous 230 V ; il sera réparti sur plusieurs circuits au J3.</t>
        </r>
      </text>
    </comment>
    <comment ref="O18" authorId="0">
      <text>
        <r>
          <rPr>
            <sz val="10"/>
            <rFont val="Arial"/>
            <family val="2"/>
          </rPr>
          <t xml:space="preserve">Courant global de la zone, sous 230 V ; il sera réparti sur plusieurs circuits au J3.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Fig. A12 : 2 à 3 circuits → 0,9. Hypothèse provisoire : 3 départs (atelier, bureaux, utilités). À recalculer au J3.</t>
        </r>
      </text>
    </comment>
  </commentList>
</comments>
</file>

<file path=xl/sharedStrings.xml><?xml version="1.0" encoding="utf-8"?>
<sst xmlns="http://schemas.openxmlformats.org/spreadsheetml/2006/main" count="461" uniqueCount="316">
  <si>
    <t xml:space="preserve">DEBT_01 — Bilan de puissance — Récepteurs</t>
  </si>
  <si>
    <t xml:space="preserve">Unités de la donnée : kVA = puissance apparente constructeur ; kWm = puissance utile mécanique d'un moteur (S = P ⁄ (η × cos φ)) ; kWe = puissance électrique absorbée (S = P ⁄ cos φ)</t>
  </si>
  <si>
    <t xml:space="preserve">Repère</t>
  </si>
  <si>
    <t xml:space="preserve">Récepteur</t>
  </si>
  <si>
    <t xml:space="preserve">Modèle retenu</t>
  </si>
  <si>
    <t xml:space="preserve">Groupe</t>
  </si>
  <si>
    <t xml:space="preserve">Qté</t>
  </si>
  <si>
    <t xml:space="preserve">Tension (V)</t>
  </si>
  <si>
    <t xml:space="preserve">Donnée constructeur</t>
  </si>
  <si>
    <t xml:space="preserve">Unité</t>
  </si>
  <si>
    <t xml:space="preserve">η</t>
  </si>
  <si>
    <t xml:space="preserve">cos φ</t>
  </si>
  <si>
    <t xml:space="preserve">S unitaire (kVA)</t>
  </si>
  <si>
    <t xml:space="preserve">S installée (kVA)</t>
  </si>
  <si>
    <t xml:space="preserve">ku</t>
  </si>
  <si>
    <t xml:space="preserve">ku × S (kVA)</t>
  </si>
  <si>
    <t xml:space="preserve">IB unitaire (A)</t>
  </si>
  <si>
    <t xml:space="preserve">Source de la donnée</t>
  </si>
  <si>
    <t xml:space="preserve">Statut</t>
  </si>
  <si>
    <t xml:space="preserve">Justification du ku</t>
  </si>
  <si>
    <t xml:space="preserve">T1-T2</t>
  </si>
  <si>
    <t xml:space="preserve">Tour à commande numérique</t>
  </si>
  <si>
    <t xml:space="preserve">DN Solutions Lynx 2100LA (FANUC)</t>
  </si>
  <si>
    <t xml:space="preserve">G1</t>
  </si>
  <si>
    <t xml:space="preserve">kVA</t>
  </si>
  <si>
    <t xml:space="preserve">Catalogue DN Solutions « Lynx 2100·2600 », ENG E36 260615, p. 32, ligne Power consumption (FANUC). ku : guide Schneider 2017, § 4.3.1, p. A23</t>
  </si>
  <si>
    <t xml:space="preserve">Sourcé</t>
  </si>
  <si>
    <t xml:space="preserve">Moteurs en installation industrielle : 0,75 en moyenne (guide Schneider 2017, § 4.3.1, p. A23)</t>
  </si>
  <si>
    <t xml:space="preserve">C1-C2</t>
  </si>
  <si>
    <t xml:space="preserve">Centre d'usinage vertical</t>
  </si>
  <si>
    <t xml:space="preserve">DN Solutions DNM 4000</t>
  </si>
  <si>
    <t xml:space="preserve">Catalogue DN Solutions « DNM 4000 », ENG SU E16 260615, p. 13, ligne electric power supply (rated capacity). ku : idem</t>
  </si>
  <si>
    <t xml:space="preserve">Idem (§ 4.3.1, p. A23)</t>
  </si>
  <si>
    <t xml:space="preserve">P1</t>
  </si>
  <si>
    <t xml:space="preserve">Perceuse à colonne</t>
  </si>
  <si>
    <t xml:space="preserve">Optimum OPTIdrill B 34H (2,2 kW, grande vitesse)</t>
  </si>
  <si>
    <t xml:space="preserve">G2</t>
  </si>
  <si>
    <t xml:space="preserve">kWm</t>
  </si>
  <si>
    <t xml:space="preserve">P : fiche Stürmer Maschinen OPTIdrill B 34H, art. 3020333 (1,50 / 2,20 kW, 400 V). η, cos φ : moteur de référence WEG W22 IE3 2,2 kW 4 pôles, carcasse 100L, catalogue WEG 50025712, p. 34 (In = 4,62 A)</t>
  </si>
  <si>
    <t xml:space="preserve">Idem (§ 4.3.1, p. A23) ; machine manuelle intermittente</t>
  </si>
  <si>
    <t xml:space="preserve">S1</t>
  </si>
  <si>
    <t xml:space="preserve">Scie à ruban — moteur de lame</t>
  </si>
  <si>
    <t xml:space="preserve">Optimum OPTIsaw S 275N</t>
  </si>
  <si>
    <t xml:space="preserve">P : Optimum S 275N, 1,1 kW 400 V (revendeurs : source secondaire). η, cos φ : moteur de référence WEG W22 IE3 1,1 kW 4 pôles, carcasse 90S, catalogue WEG 50025712, p. 34 (In = 2,39 A)</t>
  </si>
  <si>
    <t xml:space="preserve">À confirmer</t>
  </si>
  <si>
    <t xml:space="preserve">S1p</t>
  </si>
  <si>
    <t xml:space="preserve">Scie à ruban — pompe d'arrosage</t>
  </si>
  <si>
    <t xml:space="preserve">kWe</t>
  </si>
  <si>
    <t xml:space="preserve">P : fiche Optimum S 275N (90 W). cos φ inconnu, pris égal à 1 (sous-estimation négligeable)</t>
  </si>
  <si>
    <t xml:space="preserve">K1</t>
  </si>
  <si>
    <t xml:space="preserve">Compresseur d'air à vis (étoile-triangle)</t>
  </si>
  <si>
    <t xml:space="preserve">Atlas Copco G 11</t>
  </si>
  <si>
    <t xml:space="preserve">P = 11 kW : brochure Atlas Copco G 2-22 (2935 0869 42), p. 7. Démarrage étoile-triangle (version IEC) : manuel Atlas Copco G 7-G 15 (2924 7191 00), p. 58 et 80-81. η, cos φ : moteur de référence WEG W22 IE3 11 kW 2 pôles, catalogue WEG 50025712, p. 34 (In = 21,0 A). Polarité réelle à lire sur plaque</t>
  </si>
  <si>
    <t xml:space="preserve">Au-dessus de la moyenne du § 4.3.1 : fonctionnement quasi continu pendant le poste ; 1 retenu par prudence</t>
  </si>
  <si>
    <t xml:space="preserve">PR-L</t>
  </si>
  <si>
    <t xml:space="preserve">Pont roulant 1 t — levage</t>
  </si>
  <si>
    <t xml:space="preserve">Demag DC-Com 10, palan à chaîne 1 000 kg, mouflage 1/1</t>
  </si>
  <si>
    <t xml:space="preserve">Moteur ZNK 100 A 8/2, grande vitesse 1,10 kW, 40 % ED, In = 3,1 A à 380-415 V, cos φ 0,81 : Demag, Technical data DC-Com (203 571 44, 13/12/2019), p. 13 et 15. S = √3 × 400 × 3,1</t>
  </si>
  <si>
    <t xml:space="preserve">Moteur à pleine charge pendant le levage ; l'intermittence est prise en compte par le ks du groupe</t>
  </si>
  <si>
    <t xml:space="preserve">PR-C</t>
  </si>
  <si>
    <t xml:space="preserve">Pont roulant 1 t — translation chariot</t>
  </si>
  <si>
    <t xml:space="preserve">Demag E11 (chariot U11)</t>
  </si>
  <si>
    <t xml:space="preserve">Demag 203 571 44, p. 27 : E11, 0,1 / 0,025 kW. cos φ inconnu : S pris égal à P (sous-estimation négligeable)</t>
  </si>
  <si>
    <t xml:space="preserve">Idem levage</t>
  </si>
  <si>
    <t xml:space="preserve">PR-P</t>
  </si>
  <si>
    <t xml:space="preserve">Pont roulant 1 t — translation pont</t>
  </si>
  <si>
    <t xml:space="preserve">Demag E22-C (2, maître et esclave)</t>
  </si>
  <si>
    <t xml:space="preserve">Hypothèse : 2 motoréducteurs E22-C, 0,2 / 0,05 kW, cités comme entraînement de translation (Demag 203 571 44, p. 28). À confirmer par devis de pont</t>
  </si>
  <si>
    <t xml:space="preserve">E-AT</t>
  </si>
  <si>
    <t xml:space="preserve">Éclairage atelier</t>
  </si>
  <si>
    <t xml:space="preserve">Luminaires LED</t>
  </si>
  <si>
    <t xml:space="preserve">G3</t>
  </si>
  <si>
    <t xml:space="preserve">Surface H5 × ratio fig. A9 (300 lx). ku = 1 : guide Schneider, p. A23</t>
  </si>
  <si>
    <t xml:space="preserve">Éclairage : ku = 1 (§ 4.3.1, p. A23)</t>
  </si>
  <si>
    <t xml:space="preserve">E-MG</t>
  </si>
  <si>
    <t xml:space="preserve">Éclairage magasin</t>
  </si>
  <si>
    <t xml:space="preserve">Surface H5 × ratio fig. A9 (150 lx)</t>
  </si>
  <si>
    <t xml:space="preserve">Idem</t>
  </si>
  <si>
    <t xml:space="preserve">E-CP</t>
  </si>
  <si>
    <t xml:space="preserve">Éclairage local compresseur</t>
  </si>
  <si>
    <t xml:space="preserve">E-BU</t>
  </si>
  <si>
    <t xml:space="preserve">Éclairage bureaux</t>
  </si>
  <si>
    <t xml:space="preserve">Surface H5 × ratio fig. A9 (500 lx)</t>
  </si>
  <si>
    <t xml:space="preserve">E-LS</t>
  </si>
  <si>
    <t xml:space="preserve">Éclairage locaux sociaux</t>
  </si>
  <si>
    <t xml:space="preserve">Surface H5 × ratio fig. A9, ligne circulation (choix : pas de ligne spécifique)</t>
  </si>
  <si>
    <t xml:space="preserve">PC1-5</t>
  </si>
  <si>
    <t xml:space="preserve">Coffret de prises (1 × 32 A tri + 2 × 16 A mono)</t>
  </si>
  <si>
    <t xml:space="preserve">Coffrets industriels</t>
  </si>
  <si>
    <t xml:space="preserve">G4</t>
  </si>
  <si>
    <t xml:space="preserve">—</t>
  </si>
  <si>
    <t xml:space="preserve">Choix de conception (4 coffrets atelier, 1 magasin), méthode du courant assigné. ks du groupe : fig. A13</t>
  </si>
  <si>
    <t xml:space="preserve">Prises comptées à leur courant assigné (ku = 1) ; la faible utilisation est prise par ks = 0,2 (fig. A13, p. A26)</t>
  </si>
  <si>
    <t xml:space="preserve">PB</t>
  </si>
  <si>
    <t xml:space="preserve">Prises bureautiques</t>
  </si>
  <si>
    <t xml:space="preserve">G5</t>
  </si>
  <si>
    <t xml:space="preserve">Surface bureaux × ratio fig. A9 « bureaux » (25 VA/m²)</t>
  </si>
  <si>
    <t xml:space="preserve">Ratio de consommation déjà moyenné (fig. A9) : pas de réduction supplémentaire</t>
  </si>
  <si>
    <t xml:space="preserve">CE</t>
  </si>
  <si>
    <t xml:space="preserve">Chauffe-eau électrique 200 L</t>
  </si>
  <si>
    <t xml:space="preserve">Atlantic Zénéo 200 L vertical mural</t>
  </si>
  <si>
    <t xml:space="preserve">Fiche Atlantic Zénéo, réf. ED 999 538 (octobre 2015) : 2 200 W, 230 V. Résistif : cos φ = 1, ku = 1 (p. A23)</t>
  </si>
  <si>
    <t xml:space="preserve">Résistif, chauffage : ku = 1 (§ 4.3.1, p. A23)</t>
  </si>
  <si>
    <t xml:space="preserve">PAC</t>
  </si>
  <si>
    <t xml:space="preserve">Pompe à chaleur air/air bureaux</t>
  </si>
  <si>
    <t xml:space="preserve">Daikin Perfera FTXM50R + RXM50</t>
  </si>
  <si>
    <t xml:space="preserve">daikin.eu : capacité de chauffage nominale 5,8 kW, COP 4,00, d'où P = 5,8 ⁄ 4,00. Non dimensionnée par calcul thermique ; cos φ pris égal à 1. À confirmer : puissance absorbée maximale</t>
  </si>
  <si>
    <t xml:space="preserve">Chauffage et climatisation : ku = 1 (§ 4.3.1 ; fig. A13)</t>
  </si>
  <si>
    <t xml:space="preserve">TR</t>
  </si>
  <si>
    <t xml:space="preserve">Auxiliaires des tubes radiants gaz</t>
  </si>
  <si>
    <t xml:space="preserve">Jetto Monobloc JM 22 (22 kW gaz)</t>
  </si>
  <si>
    <t xml:space="preserve">Fiche Jetto Monobloc (Batiproduits) : 65 W, 230 V. Nombre de tubes provisoire (4) : calcul de déperditions au J6. Impact négligeable</t>
  </si>
  <si>
    <t xml:space="preserve">Auxiliaires en service pendant toute la chauffe : ku = 1</t>
  </si>
  <si>
    <t xml:space="preserve">Total puissance installée</t>
  </si>
  <si>
    <t xml:space="preserve">DEBT_01 — Bilan de puissance — Synthèse par groupe et au TGBT</t>
  </si>
  <si>
    <t xml:space="preserve">Pu = ks × Σ(ku × S) ; IB = Pu ⁄ (√3 × U) (guide Schneider 2017, § 4.3 à 4.4, p. A23 à A26)</t>
  </si>
  <si>
    <t xml:space="preserve">Contenu</t>
  </si>
  <si>
    <t xml:space="preserve">Σ ku × S (kVA)</t>
  </si>
  <si>
    <t xml:space="preserve">ks</t>
  </si>
  <si>
    <t xml:space="preserve">Source du ks</t>
  </si>
  <si>
    <t xml:space="preserve">P utilisation (kVA)</t>
  </si>
  <si>
    <t xml:space="preserve">IB (A)</t>
  </si>
  <si>
    <t xml:space="preserve">Machines à commande numérique (4 circuits)</t>
  </si>
  <si>
    <t xml:space="preserve">Fig. A12, p. A25 : tableau de 4 à 5 circuits</t>
  </si>
  <si>
    <t xml:space="preserve">Autres moteurs : perceuse, scie, compresseur, pont roulant (4 circuits)</t>
  </si>
  <si>
    <t xml:space="preserve">Éclairage</t>
  </si>
  <si>
    <t xml:space="preserve">Fig. A13, p. A26 : éclairage</t>
  </si>
  <si>
    <t xml:space="preserve">Coffrets de prises</t>
  </si>
  <si>
    <t xml:space="preserve">Fig. A13, p. A26 : prises 0,1 à 0,2, valeur haute (usage industriel)</t>
  </si>
  <si>
    <t xml:space="preserve">Bureaux, locaux sociaux, chauffage : bureautique, chauffe-eau, pompe à chaleur, auxiliaires</t>
  </si>
  <si>
    <t xml:space="preserve">Fig. A13, p. A26 : chauffage et conditionnement d'air ; valeur prudente pour la bureautique</t>
  </si>
  <si>
    <t xml:space="preserve">Au TGBT</t>
  </si>
  <si>
    <t xml:space="preserve">Somme des puissances d'utilisation des groupes</t>
  </si>
  <si>
    <t xml:space="preserve">ks du TGBT (provisoire, recalculé au J3 avec l'architecture)</t>
  </si>
  <si>
    <t xml:space="preserve">Puissance d'utilisation au TGBT (coefficient d'extension compris)</t>
  </si>
  <si>
    <t xml:space="preserve">Courant d'emploi au point de livraison</t>
  </si>
  <si>
    <t xml:space="preserve">A</t>
  </si>
  <si>
    <t xml:space="preserve">Plafond du raccordement C4</t>
  </si>
  <si>
    <t xml:space="preserve">Marge par rapport au plafond</t>
  </si>
  <si>
    <t xml:space="preserve">Vérification</t>
  </si>
  <si>
    <t xml:space="preserve">Puissance installée totale (rappel)</t>
  </si>
  <si>
    <t xml:space="preserve">Rapport puissance d'utilisation ⁄ puissance installée</t>
  </si>
  <si>
    <t xml:space="preserve">Contrôle : force motrice d'un atelier d'usinage par ratio (fig. A9, 300 VA/m²)</t>
  </si>
  <si>
    <t xml:space="preserve">Contrôle : S installée des seules machines CN (groupe G1)</t>
  </si>
  <si>
    <t xml:space="preserve">Coefficient d'extension (H13 : aucune extension prévue)</t>
  </si>
  <si>
    <t xml:space="preserve">Guide Schneider 2017, § 4.3 (p. A22) et § 4.5 (p. A26) : prise en compte des extensions prévisibles. H13 : coefficient 1 ; la marge sous le plafond C4 couvrirait une extension modérée.</t>
  </si>
  <si>
    <t xml:space="preserve">DEBT_01 — Puissance à souscrire (TURPE 7, BT &gt; 36 kVA)</t>
  </si>
  <si>
    <t xml:space="preserve">Formules : Enedis, TURPE 7 HTA/BT, tarifs au 1er août 2026, p. 15-16 ; coefficients : délibération CRE n° 2026-105, annexe 2, p. 21 à 28</t>
  </si>
  <si>
    <t xml:space="preserve">Donnée</t>
  </si>
  <si>
    <t xml:space="preserve">Valeur</t>
  </si>
  <si>
    <t xml:space="preserve">Source / justification</t>
  </si>
  <si>
    <t xml:space="preserve">Puissance d'utilisation au TGBT</t>
  </si>
  <si>
    <t xml:space="preserve">Bilan, onglet Synthèse</t>
  </si>
  <si>
    <t xml:space="preserve">Puissance souscrite retenue, identique sur les 4 plages</t>
  </si>
  <si>
    <t xml:space="preserve">Souscription par multiples de 1 kVA (Enedis, p. 15). Pic en heures pleines toute l'année ; la règle P1 ≤ P2 ≤ P3 ≤ P4 (plage 1 = heures pleines de saison haute) impose alors la même valeur partout</t>
  </si>
  <si>
    <t xml:space="preserve">CMDPS : coefficient α</t>
  </si>
  <si>
    <t xml:space="preserve">€/h</t>
  </si>
  <si>
    <t xml:space="preserve">CRE 2026-105, p. 28 ; CMDPS = α × h, h : durée de dépassement (Enedis, p. 16)</t>
  </si>
  <si>
    <t xml:space="preserve">Composante de gestion (contrat unique, Rf inclus)</t>
  </si>
  <si>
    <t xml:space="preserve">€/an</t>
  </si>
  <si>
    <t xml:space="preserve">CRE 2026-105, p. 21</t>
  </si>
  <si>
    <t xml:space="preserve">Composante de comptage</t>
  </si>
  <si>
    <t xml:space="preserve">CRE 2026-105, annexe 2</t>
  </si>
  <si>
    <t xml:space="preserve">Hypothèse H12 : fonctionnement (majorant d'énergie)</t>
  </si>
  <si>
    <t xml:space="preserve">Justification</t>
  </si>
  <si>
    <t xml:space="preserve">Heures de fonctionnement par jour</t>
  </si>
  <si>
    <t xml:space="preserve">h</t>
  </si>
  <si>
    <t xml:space="preserve">Un poste de journée (H3) ; hypothèse</t>
  </si>
  <si>
    <t xml:space="preserve">Jours par semaine</t>
  </si>
  <si>
    <t xml:space="preserve">j</t>
  </si>
  <si>
    <t xml:space="preserve">H3</t>
  </si>
  <si>
    <t xml:space="preserve">Semaines par an</t>
  </si>
  <si>
    <t xml:space="preserve">sem</t>
  </si>
  <si>
    <t xml:space="preserve">Majorant : aucun congé déduit</t>
  </si>
  <si>
    <t xml:space="preserve">Heures de fonctionnement par an</t>
  </si>
  <si>
    <t xml:space="preserve">Calcul</t>
  </si>
  <si>
    <t xml:space="preserve">Part de l'année en saison haute (novembre à mars)</t>
  </si>
  <si>
    <t xml:space="preserve">Enedis, glossaire, p. 22</t>
  </si>
  <si>
    <t xml:space="preserve">Énergie annuelle majorante</t>
  </si>
  <si>
    <t xml:space="preserve">kWh</t>
  </si>
  <si>
    <t xml:space="preserve">Majorant : puissance d'utilisation maintenue tout le poste, kVA pris pour des kW</t>
  </si>
  <si>
    <t xml:space="preserve">dont heures pleines de saison haute</t>
  </si>
  <si>
    <t xml:space="preserve">Toute l'énergie supposée en heures pleines : cas le plus favorable à la longue utilisation</t>
  </si>
  <si>
    <t xml:space="preserve">dont heures pleines de saison basse</t>
  </si>
  <si>
    <t xml:space="preserve">Comparaison courte utilisation ⁄ longue utilisation</t>
  </si>
  <si>
    <t xml:space="preserve">Terme</t>
  </si>
  <si>
    <t xml:space="preserve">Courte util.</t>
  </si>
  <si>
    <t xml:space="preserve">Longue util.</t>
  </si>
  <si>
    <t xml:space="preserve">Source</t>
  </si>
  <si>
    <t xml:space="preserve">b1 : heures pleines de saison haute</t>
  </si>
  <si>
    <t xml:space="preserve">€/kVA/an</t>
  </si>
  <si>
    <t xml:space="preserve">CRE 2026-105, p. 27</t>
  </si>
  <si>
    <t xml:space="preserve">c1 : heures pleines de saison haute</t>
  </si>
  <si>
    <t xml:space="preserve">c€/kWh</t>
  </si>
  <si>
    <t xml:space="preserve">c3 : heures pleines de saison basse</t>
  </si>
  <si>
    <t xml:space="preserve">Part puissance : b1 × PS</t>
  </si>
  <si>
    <t xml:space="preserve">CS = b1·P1 + Σ bi·(Pi − Pi−1) + Σ ci·Ei ; Pi toutes égales, donc seul b1·P1 subsiste</t>
  </si>
  <si>
    <t xml:space="preserve">Part énergie : c1 × E1 + c3 × E3</t>
  </si>
  <si>
    <t xml:space="preserve">Énergies majorantes (H12)</t>
  </si>
  <si>
    <t xml:space="preserve">Composante de soutirage totale</t>
  </si>
  <si>
    <t xml:space="preserve">Somme</t>
  </si>
  <si>
    <t xml:space="preserve">Écart longue − courte utilisation</t>
  </si>
  <si>
    <t xml:space="preserve">Positif : la courte utilisation est moins chère, même dans le cas majorant</t>
  </si>
  <si>
    <t xml:space="preserve">Conclusion</t>
  </si>
  <si>
    <t xml:space="preserve">Ordre de grandeur : 1 kVA souscrit en plus coûte b1 = 18,15 €/an ; 1 heure de dépassement coûte α = 12,79 €. Une marge de souscription est donc peu coûteuse face au risque de dépassement.</t>
  </si>
  <si>
    <t xml:space="preserve">DEBT_01 — Bilan de puissance — Paramètres</t>
  </si>
  <si>
    <t xml:space="preserve">Version 4 (clôture du J2) — texte bleu : donnée saisie ; texte noir : formule</t>
  </si>
  <si>
    <t xml:space="preserve">Paramètre</t>
  </si>
  <si>
    <t xml:space="preserve">Tension entre phases U</t>
  </si>
  <si>
    <t xml:space="preserve">V</t>
  </si>
  <si>
    <t xml:space="preserve">Cahier des charges v1.0, section 3 (réseau triphasé 230/400 V)</t>
  </si>
  <si>
    <t xml:space="preserve">Tension simple V</t>
  </si>
  <si>
    <t xml:space="preserve">Racine de 3</t>
  </si>
  <si>
    <t xml:space="preserve">Constante</t>
  </si>
  <si>
    <t xml:space="preserve">Plafond de puissance du raccordement C4</t>
  </si>
  <si>
    <t xml:space="preserve">Cahier des charges v1.0, section 3 (segment C4, 36 à 250 kVA)</t>
  </si>
  <si>
    <t xml:space="preserve">Surfaces (H5, provisoires jusqu'au plan du J3)</t>
  </si>
  <si>
    <t xml:space="preserve">Zone</t>
  </si>
  <si>
    <t xml:space="preserve">Surface</t>
  </si>
  <si>
    <t xml:space="preserve">Atelier</t>
  </si>
  <si>
    <t xml:space="preserve">m²</t>
  </si>
  <si>
    <t xml:space="preserve">Valeur de programme (H5)</t>
  </si>
  <si>
    <t xml:space="preserve">Magasin et expédition</t>
  </si>
  <si>
    <t xml:space="preserve">Local compresseur</t>
  </si>
  <si>
    <t xml:space="preserve">Bureaux (m² utiles)</t>
  </si>
  <si>
    <t xml:space="preserve">INRS ED 23 (2007) : 10 m² par poste × 6 postes (H3, H5)</t>
  </si>
  <si>
    <t xml:space="preserve">Locaux sociaux</t>
  </si>
  <si>
    <t xml:space="preserve">Ratios d'éclairage (H11) et de bureautique</t>
  </si>
  <si>
    <t xml:space="preserve">Usage</t>
  </si>
  <si>
    <t xml:space="preserve">Ratio</t>
  </si>
  <si>
    <t xml:space="preserve">Éclairage — circulation, stockage (150 lx)</t>
  </si>
  <si>
    <t xml:space="preserve">VA/m²</t>
  </si>
  <si>
    <t xml:space="preserve">Guide Schneider 2017, fig. A9, p. A22-A23 (base fluorescente : majorant pour LED)</t>
  </si>
  <si>
    <t xml:space="preserve">Éclairage — gros travaux, atelier (300 lx)</t>
  </si>
  <si>
    <t xml:space="preserve">Éclairage — bureaux (500 lx)</t>
  </si>
  <si>
    <t xml:space="preserve">Force motrice — bureaux (bureautique)</t>
  </si>
  <si>
    <t xml:space="preserve">Guide Schneider 2017, fig. A9, p. A23</t>
  </si>
  <si>
    <t xml:space="preserve">Contrôle : force motrice atelier d'usinage</t>
  </si>
  <si>
    <t xml:space="preserve">Guide Schneider 2017, fig. A9, p. A23 (ordre de grandeur de contrôle)</t>
  </si>
  <si>
    <t xml:space="preserve">Coffret de prises type (choix de conception, J2.5)</t>
  </si>
  <si>
    <t xml:space="preserve">Élément</t>
  </si>
  <si>
    <t xml:space="preserve">Prise industrielle triphasée : courant assigné</t>
  </si>
  <si>
    <t xml:space="preserve">Choix de conception : 1 par coffret</t>
  </si>
  <si>
    <t xml:space="preserve">Prises monophasées : courant assigné</t>
  </si>
  <si>
    <t xml:space="preserve">Choix de conception</t>
  </si>
  <si>
    <t xml:space="preserve">Nombre de prises monophasées par coffret</t>
  </si>
  <si>
    <t xml:space="preserve">Puissance d'un coffret (méthode du courant assigné)</t>
  </si>
  <si>
    <t xml:space="preserve">S = (√3 × U × 32 + 2 × V × 16) ⁄ 1000</t>
  </si>
  <si>
    <t xml:space="preserve">Justification du nombre et de la composition des coffrets</t>
  </si>
  <si>
    <t xml:space="preserve">Point</t>
  </si>
  <si>
    <t xml:space="preserve">Nombre de coffrets dans l'atelier</t>
  </si>
  <si>
    <t xml:space="preserve">Un coffret par zone de travail : tournage, fraisage, débit et perçage, établi et contrôle ; chaque poste à portée d'un câble d'outillage portatif, sans rallonge au sol entre les machines. Aucune norme ne fixe ce nombre en local industriel : choix de conception, à vérifier sur le plan du J3</t>
  </si>
  <si>
    <t xml:space="preserve">Nombre de coffrets dans le magasin</t>
  </si>
  <si>
    <t xml:space="preserve">Outillage de réception et d'expédition. Choix de conception, à vérifier sur le plan du J3</t>
  </si>
  <si>
    <t xml:space="preserve">Calibres retenus (16 A et 32 A)</t>
  </si>
  <si>
    <t xml:space="preserve">Calibres normalisés des prises industrielles (norme CEI 60309) ; 32 A triphasé pour un équipement mobile puissant (poste à souder), 16 A pour l'outillage portatif et les baladeuses</t>
  </si>
  <si>
    <t xml:space="preserve">Méthode de comptage</t>
  </si>
  <si>
    <t xml:space="preserve">Chaque prise comptée à son courant assigné (ku = 1) ; la faible utilisation réelle est prise en compte par ks = 0,2 sur le groupe (fig. A13, p. A26)</t>
  </si>
  <si>
    <t xml:space="preserve">Poids sur le bilan</t>
  </si>
  <si>
    <t xml:space="preserve">Environ 30 kVA d'utilisation, 2e poste du bilan : levier à discuter au J3 avec le plan</t>
  </si>
  <si>
    <t xml:space="preserve">DEBT_01 — Registre des sources à confirmer</t>
  </si>
  <si>
    <t xml:space="preserve">À vider avant la version finale du dossier</t>
  </si>
  <si>
    <t xml:space="preserve">N°</t>
  </si>
  <si>
    <t xml:space="preserve">Valeur provisoire</t>
  </si>
  <si>
    <t xml:space="preserve">Source actuelle</t>
  </si>
  <si>
    <t xml:space="preserve">Source à obtenir</t>
  </si>
  <si>
    <t xml:space="preserve">Scie : fiche constructeur</t>
  </si>
  <si>
    <t xml:space="preserve">1,1 kW ; pompe 90 W</t>
  </si>
  <si>
    <t xml:space="preserve">Revendeurs Optimum (secondaire)</t>
  </si>
  <si>
    <t xml:space="preserve">Fiche ou notice Optimum / Stürmer S 275N (réf. 3300260)</t>
  </si>
  <si>
    <t xml:space="preserve">Négligeable</t>
  </si>
  <si>
    <t xml:space="preserve">Compresseur : polarité et courant du moteur</t>
  </si>
  <si>
    <t xml:space="preserve">2 pôles supposés ; 21,0 A (moteur de référence)</t>
  </si>
  <si>
    <t xml:space="preserve">WEG W22 IE3 11 kW 2 p. (primaire, moteur de référence)</t>
  </si>
  <si>
    <t xml:space="preserve">Plaque signalétique ou fiche électrique Atlas Copco G 11</t>
  </si>
  <si>
    <t xml:space="preserve">Modéré (≈ 14 kVA)</t>
  </si>
  <si>
    <t xml:space="preserve">Pont roulant : translation du pont</t>
  </si>
  <si>
    <t xml:space="preserve">2 × 0,2 kW</t>
  </si>
  <si>
    <t xml:space="preserve">Demag 203 571 44, p. 28 (usage hors palan)</t>
  </si>
  <si>
    <t xml:space="preserve">Devis d'un pont monopoutre 1 t</t>
  </si>
  <si>
    <t xml:space="preserve">Pont roulant : hauteur de poutre, chemin de roulement, jeu en partie haute</t>
  </si>
  <si>
    <t xml:space="preserve">à déterminer</t>
  </si>
  <si>
    <t xml:space="preserve">Devis constructeur ; norme EN 15011 (payante)</t>
  </si>
  <si>
    <t xml:space="preserve">Conditionne la hauteur sous charpente (H4)</t>
  </si>
  <si>
    <t xml:space="preserve">Pompe à chaleur : puissance absorbée maximale</t>
  </si>
  <si>
    <t xml:space="preserve">1,45 kW (nominale) ; fusible maxi 16 A</t>
  </si>
  <si>
    <t xml:space="preserve">daikin.eu ; fiche RXM-R (EEDEN21A), p. 5-6</t>
  </si>
  <si>
    <t xml:space="preserve">Pages FTXM50R du databook Daikin</t>
  </si>
  <si>
    <t xml:space="preserve">Faible</t>
  </si>
  <si>
    <t xml:space="preserve">Tubes radiants : nombre</t>
  </si>
  <si>
    <t xml:space="preserve">4 × 65 W</t>
  </si>
  <si>
    <t xml:space="preserve">Notice Jetto JM 12 / JM 22 (19/07/2010), p. 2, 6, 7</t>
  </si>
  <si>
    <t xml:space="preserve">Calcul de déperditions (J6)</t>
  </si>
  <si>
    <t xml:space="preserve">Tubes radiants : tension neutre-terre</t>
  </si>
  <si>
    <t xml:space="preserve">aucune tension admise (notice Jetto)</t>
  </si>
  <si>
    <t xml:space="preserve">Notice Jetto, p. 7</t>
  </si>
  <si>
    <t xml:space="preserve">Vérification en schéma TT au J4 ; transformateur de séparation éventuel</t>
  </si>
  <si>
    <t xml:space="preserve">Point de protection, pas de puissance</t>
  </si>
  <si>
    <t xml:space="preserve">Chauffe-eau : fiche chiffrée</t>
  </si>
  <si>
    <t xml:space="preserve">2 200 W</t>
  </si>
  <si>
    <t xml:space="preserve">Revendeurs (secondaire)</t>
  </si>
  <si>
    <t xml:space="preserve">Fiche Atlantic Zénéo en vigueur</t>
  </si>
  <si>
    <t xml:space="preserve">Coffrets de prises : nombre et composition</t>
  </si>
  <si>
    <t xml:space="preserve">5 coffrets (1 × 32 A tri + 2 × 16 A)</t>
  </si>
  <si>
    <t xml:space="preserve">Choix de conception (onglet Paramètres)</t>
  </si>
  <si>
    <t xml:space="preserve">Vérification sur le plan AutoCAD (J3)</t>
  </si>
  <si>
    <t xml:space="preserve">Fort (≈ 30 kVA d'utilisation)</t>
  </si>
  <si>
    <t xml:space="preserve">ks du TGBT</t>
  </si>
  <si>
    <t xml:space="preserve">0,9 (3 départs supposés)</t>
  </si>
  <si>
    <t xml:space="preserve">Fig. A12, hypothèse d'architecture</t>
  </si>
  <si>
    <t xml:space="preserve">Architecture de distribution (J3)</t>
  </si>
  <si>
    <t xml:space="preserve">Modéré (≈ 12 kVA)</t>
  </si>
  <si>
    <t xml:space="preserve">TURPE : puissance souscrite minimale et maximale, heures creuses</t>
  </si>
  <si>
    <t xml:space="preserve">Brochure Enedis au 01/08/2026 (souscription par multiples de 1 kVA)</t>
  </si>
  <si>
    <t xml:space="preserve">Délibération CRE 2025-78, § 5.1, p. 140-146</t>
  </si>
  <si>
    <t xml:space="preserve">Faible sur le choix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</si>
</sst>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0.0"/>
    <numFmt numFmtId="168" formatCode="0"/>
    <numFmt numFmtId="169" formatCode="0.0%"/>
    <numFmt numFmtId="170" formatCode="@"/>
    <numFmt numFmtId="171" formatCode="#,##0"/>
    <numFmt numFmtId="172" formatCode="#,##0.00"/>
    <numFmt numFmtId="173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B3A24"/>
      <name val="Arial"/>
      <family val="0"/>
      <charset val="1"/>
    </font>
    <font>
      <i val="true"/>
      <sz val="10"/>
      <color rgb="FF8A5F3F"/>
      <name val="Arial"/>
      <family val="0"/>
      <charset val="1"/>
    </font>
    <font>
      <b val="true"/>
      <sz val="10"/>
      <color rgb="FF4A302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A5F3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5B3A2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6DB"/>
        <bgColor rgb="FFFAF6F1"/>
      </patternFill>
    </fill>
    <fill>
      <patternFill patternType="solid">
        <fgColor rgb="FFFAF6F1"/>
        <bgColor rgb="FFEFE6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CFBF"/>
      </left>
      <right style="thin">
        <color rgb="FFDDCFBF"/>
      </right>
      <top style="thin">
        <color rgb="FFDDCFBF"/>
      </top>
      <bottom style="thin">
        <color rgb="FFDDC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6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F3F"/>
      <rgbColor rgb="FF800080"/>
      <rgbColor rgb="FF008080"/>
      <rgbColor rgb="FFDDCFBF"/>
      <rgbColor rgb="FF808080"/>
      <rgbColor rgb="FF9999FF"/>
      <rgbColor rgb="FF993366"/>
      <rgbColor rgb="FFEFE6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B3A24"/>
      <rgbColor rgb="FF993300"/>
      <rgbColor rgb="FF993366"/>
      <rgbColor rgb="FF333399"/>
      <rgbColor rgb="FF4A3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0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7"/>
    <col collapsed="false" customWidth="true" hidden="false" outlineLevel="0" max="12" min="11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70"/>
    <col collapsed="false" customWidth="true" hidden="false" outlineLevel="0" max="17" min="17" style="0" width="14"/>
    <col collapsed="false" customWidth="true" hidden="false" outlineLevel="0" max="18" min="18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23.85" hidden="false" customHeight="false" outlineLevel="0" collapsed="false">
      <c r="A5" s="4" t="s">
        <v>20</v>
      </c>
      <c r="B5" s="5" t="s">
        <v>21</v>
      </c>
      <c r="C5" s="5" t="s">
        <v>22</v>
      </c>
      <c r="D5" s="4" t="s">
        <v>23</v>
      </c>
      <c r="E5" s="6" t="n">
        <v>2</v>
      </c>
      <c r="F5" s="6" t="n">
        <v>400</v>
      </c>
      <c r="G5" s="7" t="n">
        <v>24.21</v>
      </c>
      <c r="H5" s="4" t="s">
        <v>24</v>
      </c>
      <c r="I5" s="8"/>
      <c r="J5" s="8"/>
      <c r="K5" s="9" t="n">
        <f aca="false">IF(H5="kVA",G5,IF(H5="kWm",G5/(I5*J5),G5/J5))</f>
        <v>24.21</v>
      </c>
      <c r="L5" s="9" t="n">
        <f aca="false">E5*K5</f>
        <v>48.42</v>
      </c>
      <c r="M5" s="6" t="n">
        <v>0.75</v>
      </c>
      <c r="N5" s="9" t="n">
        <f aca="false">L5*M5</f>
        <v>36.315</v>
      </c>
      <c r="O5" s="10" t="n">
        <f aca="false">IF(F5=Parametres!$B$5,K5*1000/(Parametres!$B$7*F5),K5*1000/F5)</f>
        <v>34.9441250427021</v>
      </c>
      <c r="P5" s="5" t="s">
        <v>25</v>
      </c>
      <c r="Q5" s="4" t="s">
        <v>26</v>
      </c>
      <c r="R5" s="11" t="s">
        <v>27</v>
      </c>
    </row>
    <row r="6" customFormat="false" ht="23.85" hidden="false" customHeight="false" outlineLevel="0" collapsed="false">
      <c r="A6" s="4" t="s">
        <v>28</v>
      </c>
      <c r="B6" s="5" t="s">
        <v>29</v>
      </c>
      <c r="C6" s="5" t="s">
        <v>30</v>
      </c>
      <c r="D6" s="4" t="s">
        <v>23</v>
      </c>
      <c r="E6" s="6" t="n">
        <v>2</v>
      </c>
      <c r="F6" s="6" t="n">
        <v>400</v>
      </c>
      <c r="G6" s="7" t="n">
        <v>29.5</v>
      </c>
      <c r="H6" s="4" t="s">
        <v>24</v>
      </c>
      <c r="I6" s="8"/>
      <c r="J6" s="8"/>
      <c r="K6" s="9" t="n">
        <f aca="false">IF(H6="kVA",G6,IF(H6="kWm",G6/(I6*J6),G6/J6))</f>
        <v>29.5</v>
      </c>
      <c r="L6" s="9" t="n">
        <f aca="false">E6*K6</f>
        <v>59</v>
      </c>
      <c r="M6" s="6" t="n">
        <v>0.75</v>
      </c>
      <c r="N6" s="9" t="n">
        <f aca="false">L6*M6</f>
        <v>44.25</v>
      </c>
      <c r="O6" s="10" t="n">
        <f aca="false">IF(F6=Parametres!$B$5,K6*1000/(Parametres!$B$7*F6),K6*1000/F6)</f>
        <v>42.5795823527349</v>
      </c>
      <c r="P6" s="5" t="s">
        <v>31</v>
      </c>
      <c r="Q6" s="4" t="s">
        <v>26</v>
      </c>
      <c r="R6" s="11" t="s">
        <v>32</v>
      </c>
    </row>
    <row r="7" customFormat="false" ht="35.05" hidden="false" customHeight="false" outlineLevel="0" collapsed="false">
      <c r="A7" s="4" t="s">
        <v>33</v>
      </c>
      <c r="B7" s="5" t="s">
        <v>34</v>
      </c>
      <c r="C7" s="5" t="s">
        <v>35</v>
      </c>
      <c r="D7" s="4" t="s">
        <v>36</v>
      </c>
      <c r="E7" s="6" t="n">
        <v>1</v>
      </c>
      <c r="F7" s="6" t="n">
        <v>400</v>
      </c>
      <c r="G7" s="7" t="n">
        <v>2.2</v>
      </c>
      <c r="H7" s="4" t="s">
        <v>37</v>
      </c>
      <c r="I7" s="12" t="n">
        <v>0.87</v>
      </c>
      <c r="J7" s="12" t="n">
        <v>0.79</v>
      </c>
      <c r="K7" s="9" t="n">
        <f aca="false">IF(H7="kVA",G7,IF(H7="kWm",G7/(I7*J7),G7/J7))</f>
        <v>3.20093117997963</v>
      </c>
      <c r="L7" s="9" t="n">
        <f aca="false">E7*K7</f>
        <v>3.20093117997963</v>
      </c>
      <c r="M7" s="6" t="n">
        <v>0.75</v>
      </c>
      <c r="N7" s="9" t="n">
        <f aca="false">L7*M7</f>
        <v>2.40069838498472</v>
      </c>
      <c r="O7" s="10" t="n">
        <f aca="false">IF(F7=Parametres!$B$5,K7*1000/(Parametres!$B$7*F7),K7*1000/F7)</f>
        <v>4.62014619604677</v>
      </c>
      <c r="P7" s="5" t="s">
        <v>38</v>
      </c>
      <c r="Q7" s="4" t="s">
        <v>26</v>
      </c>
      <c r="R7" s="11" t="s">
        <v>39</v>
      </c>
    </row>
    <row r="8" customFormat="false" ht="35.05" hidden="false" customHeight="false" outlineLevel="0" collapsed="false">
      <c r="A8" s="13" t="s">
        <v>40</v>
      </c>
      <c r="B8" s="14" t="s">
        <v>41</v>
      </c>
      <c r="C8" s="5" t="s">
        <v>42</v>
      </c>
      <c r="D8" s="4" t="s">
        <v>36</v>
      </c>
      <c r="E8" s="6" t="n">
        <v>1</v>
      </c>
      <c r="F8" s="6" t="n">
        <v>400</v>
      </c>
      <c r="G8" s="7" t="n">
        <v>1.1</v>
      </c>
      <c r="H8" s="4" t="s">
        <v>37</v>
      </c>
      <c r="I8" s="12" t="n">
        <v>0.841</v>
      </c>
      <c r="J8" s="12" t="n">
        <v>0.79</v>
      </c>
      <c r="K8" s="9" t="n">
        <f aca="false">IF(H8="kVA",G8,IF(H8="kWm",G8/(I8*J8),G8/J8))</f>
        <v>1.65565405861015</v>
      </c>
      <c r="L8" s="9" t="n">
        <f aca="false">E8*K8</f>
        <v>1.65565405861015</v>
      </c>
      <c r="M8" s="6" t="n">
        <v>0.75</v>
      </c>
      <c r="N8" s="9" t="n">
        <f aca="false">L8*M8</f>
        <v>1.24174054395762</v>
      </c>
      <c r="O8" s="10" t="n">
        <f aca="false">IF(F8=Parametres!$B$5,K8*1000/(Parametres!$B$7*F8),K8*1000/F8)</f>
        <v>2.38973079105867</v>
      </c>
      <c r="P8" s="5" t="s">
        <v>43</v>
      </c>
      <c r="Q8" s="15" t="s">
        <v>44</v>
      </c>
      <c r="R8" s="11" t="s">
        <v>32</v>
      </c>
    </row>
    <row r="9" customFormat="false" ht="23.85" hidden="false" customHeight="false" outlineLevel="0" collapsed="false">
      <c r="A9" s="13" t="s">
        <v>45</v>
      </c>
      <c r="B9" s="14" t="s">
        <v>46</v>
      </c>
      <c r="C9" s="5" t="s">
        <v>42</v>
      </c>
      <c r="D9" s="4" t="s">
        <v>36</v>
      </c>
      <c r="E9" s="6" t="n">
        <v>1</v>
      </c>
      <c r="F9" s="6" t="n">
        <v>400</v>
      </c>
      <c r="G9" s="7" t="n">
        <v>0.09</v>
      </c>
      <c r="H9" s="4" t="s">
        <v>47</v>
      </c>
      <c r="I9" s="8"/>
      <c r="J9" s="12" t="n">
        <v>1</v>
      </c>
      <c r="K9" s="9" t="n">
        <f aca="false">IF(H9="kVA",G9,IF(H9="kWm",G9/(I9*J9),G9/J9))</f>
        <v>0.09</v>
      </c>
      <c r="L9" s="9" t="n">
        <f aca="false">E9*K9</f>
        <v>0.09</v>
      </c>
      <c r="M9" s="6" t="n">
        <v>0.75</v>
      </c>
      <c r="N9" s="9" t="n">
        <f aca="false">L9*M9</f>
        <v>0.0675</v>
      </c>
      <c r="O9" s="10" t="n">
        <f aca="false">IF(F9=Parametres!$B$5,K9*1000/(Parametres!$B$7*F9),K9*1000/F9)</f>
        <v>0.129903810567666</v>
      </c>
      <c r="P9" s="5" t="s">
        <v>48</v>
      </c>
      <c r="Q9" s="15" t="s">
        <v>44</v>
      </c>
      <c r="R9" s="11" t="s">
        <v>32</v>
      </c>
    </row>
    <row r="10" customFormat="false" ht="46.25" hidden="false" customHeight="false" outlineLevel="0" collapsed="false">
      <c r="A10" s="13" t="s">
        <v>49</v>
      </c>
      <c r="B10" s="14" t="s">
        <v>50</v>
      </c>
      <c r="C10" s="5" t="s">
        <v>51</v>
      </c>
      <c r="D10" s="4" t="s">
        <v>36</v>
      </c>
      <c r="E10" s="6" t="n">
        <v>1</v>
      </c>
      <c r="F10" s="6" t="n">
        <v>400</v>
      </c>
      <c r="G10" s="7" t="n">
        <v>11</v>
      </c>
      <c r="H10" s="4" t="s">
        <v>37</v>
      </c>
      <c r="I10" s="12" t="n">
        <v>0.912</v>
      </c>
      <c r="J10" s="12" t="n">
        <v>0.83</v>
      </c>
      <c r="K10" s="9" t="n">
        <f aca="false">IF(H10="kVA",G10,IF(H10="kWm",G10/(I10*J10),G10/J10))</f>
        <v>14.5318114563517</v>
      </c>
      <c r="L10" s="9" t="n">
        <f aca="false">E10*K10</f>
        <v>14.5318114563517</v>
      </c>
      <c r="M10" s="6" t="n">
        <v>1</v>
      </c>
      <c r="N10" s="9" t="n">
        <f aca="false">L10*M10</f>
        <v>14.5318114563517</v>
      </c>
      <c r="O10" s="10" t="n">
        <f aca="false">IF(F10=Parametres!$B$5,K10*1000/(Parametres!$B$7*F10),K10*1000/F10)</f>
        <v>20.9748631403439</v>
      </c>
      <c r="P10" s="5" t="s">
        <v>52</v>
      </c>
      <c r="Q10" s="15" t="s">
        <v>44</v>
      </c>
      <c r="R10" s="11" t="s">
        <v>53</v>
      </c>
    </row>
    <row r="11" customFormat="false" ht="35.05" hidden="false" customHeight="false" outlineLevel="0" collapsed="false">
      <c r="A11" s="4" t="s">
        <v>54</v>
      </c>
      <c r="B11" s="5" t="s">
        <v>55</v>
      </c>
      <c r="C11" s="5" t="s">
        <v>56</v>
      </c>
      <c r="D11" s="4" t="s">
        <v>36</v>
      </c>
      <c r="E11" s="6" t="n">
        <v>1</v>
      </c>
      <c r="F11" s="6" t="n">
        <v>400</v>
      </c>
      <c r="G11" s="9" t="n">
        <f aca="false">SQRT(3)*400*3.1/1000</f>
        <v>2.14774300138541</v>
      </c>
      <c r="H11" s="4" t="s">
        <v>24</v>
      </c>
      <c r="I11" s="8"/>
      <c r="J11" s="8"/>
      <c r="K11" s="9" t="n">
        <f aca="false">IF(H11="kVA",G11,IF(H11="kWm",G11/(I11*J11),G11/J11))</f>
        <v>2.14774300138541</v>
      </c>
      <c r="L11" s="9" t="n">
        <f aca="false">E11*K11</f>
        <v>2.14774300138541</v>
      </c>
      <c r="M11" s="6" t="n">
        <v>1</v>
      </c>
      <c r="N11" s="9" t="n">
        <f aca="false">L11*M11</f>
        <v>2.14774300138541</v>
      </c>
      <c r="O11" s="10" t="n">
        <f aca="false">IF(F11=Parametres!$B$5,K11*1000/(Parametres!$B$7*F11),K11*1000/F11)</f>
        <v>3.1</v>
      </c>
      <c r="P11" s="5" t="s">
        <v>57</v>
      </c>
      <c r="Q11" s="4" t="s">
        <v>26</v>
      </c>
      <c r="R11" s="11" t="s">
        <v>58</v>
      </c>
    </row>
    <row r="12" customFormat="false" ht="23.85" hidden="false" customHeight="false" outlineLevel="0" collapsed="false">
      <c r="A12" s="13" t="s">
        <v>59</v>
      </c>
      <c r="B12" s="14" t="s">
        <v>60</v>
      </c>
      <c r="C12" s="5" t="s">
        <v>61</v>
      </c>
      <c r="D12" s="4" t="s">
        <v>36</v>
      </c>
      <c r="E12" s="6" t="n">
        <v>1</v>
      </c>
      <c r="F12" s="6" t="n">
        <v>400</v>
      </c>
      <c r="G12" s="7" t="n">
        <v>0.1</v>
      </c>
      <c r="H12" s="4" t="s">
        <v>47</v>
      </c>
      <c r="I12" s="8"/>
      <c r="J12" s="12" t="n">
        <v>1</v>
      </c>
      <c r="K12" s="9" t="n">
        <f aca="false">IF(H12="kVA",G12,IF(H12="kWm",G12/(I12*J12),G12/J12))</f>
        <v>0.1</v>
      </c>
      <c r="L12" s="9" t="n">
        <f aca="false">E12*K12</f>
        <v>0.1</v>
      </c>
      <c r="M12" s="6" t="n">
        <v>1</v>
      </c>
      <c r="N12" s="9" t="n">
        <f aca="false">L12*M12</f>
        <v>0.1</v>
      </c>
      <c r="O12" s="10" t="n">
        <f aca="false">IF(F12=Parametres!$B$5,K12*1000/(Parametres!$B$7*F12),K12*1000/F12)</f>
        <v>0.144337567297406</v>
      </c>
      <c r="P12" s="5" t="s">
        <v>62</v>
      </c>
      <c r="Q12" s="15" t="s">
        <v>44</v>
      </c>
      <c r="R12" s="11" t="s">
        <v>63</v>
      </c>
    </row>
    <row r="13" customFormat="false" ht="23.85" hidden="false" customHeight="false" outlineLevel="0" collapsed="false">
      <c r="A13" s="13" t="s">
        <v>64</v>
      </c>
      <c r="B13" s="14" t="s">
        <v>65</v>
      </c>
      <c r="C13" s="5" t="s">
        <v>66</v>
      </c>
      <c r="D13" s="4" t="s">
        <v>36</v>
      </c>
      <c r="E13" s="6" t="n">
        <v>2</v>
      </c>
      <c r="F13" s="6" t="n">
        <v>400</v>
      </c>
      <c r="G13" s="7" t="n">
        <v>0.2</v>
      </c>
      <c r="H13" s="4" t="s">
        <v>47</v>
      </c>
      <c r="I13" s="8"/>
      <c r="J13" s="12" t="n">
        <v>1</v>
      </c>
      <c r="K13" s="9" t="n">
        <f aca="false">IF(H13="kVA",G13,IF(H13="kWm",G13/(I13*J13),G13/J13))</f>
        <v>0.2</v>
      </c>
      <c r="L13" s="9" t="n">
        <f aca="false">E13*K13</f>
        <v>0.4</v>
      </c>
      <c r="M13" s="6" t="n">
        <v>1</v>
      </c>
      <c r="N13" s="9" t="n">
        <f aca="false">L13*M13</f>
        <v>0.4</v>
      </c>
      <c r="O13" s="10" t="n">
        <f aca="false">IF(F13=Parametres!$B$5,K13*1000/(Parametres!$B$7*F13),K13*1000/F13)</f>
        <v>0.288675134594813</v>
      </c>
      <c r="P13" s="5" t="s">
        <v>67</v>
      </c>
      <c r="Q13" s="15" t="s">
        <v>44</v>
      </c>
      <c r="R13" s="11" t="s">
        <v>63</v>
      </c>
    </row>
    <row r="14" customFormat="false" ht="15" hidden="false" customHeight="false" outlineLevel="0" collapsed="false">
      <c r="A14" s="4" t="s">
        <v>68</v>
      </c>
      <c r="B14" s="5" t="s">
        <v>69</v>
      </c>
      <c r="C14" s="5" t="s">
        <v>70</v>
      </c>
      <c r="D14" s="4" t="s">
        <v>71</v>
      </c>
      <c r="E14" s="6" t="n">
        <v>1</v>
      </c>
      <c r="F14" s="6" t="n">
        <v>230</v>
      </c>
      <c r="G14" s="9" t="n">
        <f aca="false">Parametres!$B$12*Parametres!$B$21/1000</f>
        <v>5.6</v>
      </c>
      <c r="H14" s="4" t="s">
        <v>24</v>
      </c>
      <c r="I14" s="8"/>
      <c r="J14" s="8"/>
      <c r="K14" s="9" t="n">
        <f aca="false">IF(H14="kVA",G14,IF(H14="kWm",G14/(I14*J14),G14/J14))</f>
        <v>5.6</v>
      </c>
      <c r="L14" s="9" t="n">
        <f aca="false">E14*K14</f>
        <v>5.6</v>
      </c>
      <c r="M14" s="6" t="n">
        <v>1</v>
      </c>
      <c r="N14" s="9" t="n">
        <f aca="false">L14*M14</f>
        <v>5.6</v>
      </c>
      <c r="O14" s="10" t="n">
        <f aca="false">IF(F14=Parametres!$B$5,K14*1000/(Parametres!$B$7*F14),K14*1000/F14)</f>
        <v>24.3478260869565</v>
      </c>
      <c r="P14" s="5" t="s">
        <v>72</v>
      </c>
      <c r="Q14" s="4" t="s">
        <v>26</v>
      </c>
      <c r="R14" s="11" t="s">
        <v>73</v>
      </c>
    </row>
    <row r="15" customFormat="false" ht="15" hidden="false" customHeight="false" outlineLevel="0" collapsed="false">
      <c r="A15" s="4" t="s">
        <v>74</v>
      </c>
      <c r="B15" s="5" t="s">
        <v>75</v>
      </c>
      <c r="C15" s="5" t="s">
        <v>70</v>
      </c>
      <c r="D15" s="4" t="s">
        <v>71</v>
      </c>
      <c r="E15" s="6" t="n">
        <v>1</v>
      </c>
      <c r="F15" s="6" t="n">
        <v>230</v>
      </c>
      <c r="G15" s="9" t="n">
        <f aca="false">Parametres!$B$13*Parametres!$B$20/1000</f>
        <v>0.7</v>
      </c>
      <c r="H15" s="4" t="s">
        <v>24</v>
      </c>
      <c r="I15" s="8"/>
      <c r="J15" s="8"/>
      <c r="K15" s="9" t="n">
        <f aca="false">IF(H15="kVA",G15,IF(H15="kWm",G15/(I15*J15),G15/J15))</f>
        <v>0.7</v>
      </c>
      <c r="L15" s="9" t="n">
        <f aca="false">E15*K15</f>
        <v>0.7</v>
      </c>
      <c r="M15" s="6" t="n">
        <v>1</v>
      </c>
      <c r="N15" s="9" t="n">
        <f aca="false">L15*M15</f>
        <v>0.7</v>
      </c>
      <c r="O15" s="10" t="n">
        <f aca="false">IF(F15=Parametres!$B$5,K15*1000/(Parametres!$B$7*F15),K15*1000/F15)</f>
        <v>3.04347826086957</v>
      </c>
      <c r="P15" s="5" t="s">
        <v>76</v>
      </c>
      <c r="Q15" s="4" t="s">
        <v>26</v>
      </c>
      <c r="R15" s="11" t="s">
        <v>77</v>
      </c>
    </row>
    <row r="16" customFormat="false" ht="15" hidden="false" customHeight="false" outlineLevel="0" collapsed="false">
      <c r="A16" s="4" t="s">
        <v>78</v>
      </c>
      <c r="B16" s="5" t="s">
        <v>79</v>
      </c>
      <c r="C16" s="5" t="s">
        <v>70</v>
      </c>
      <c r="D16" s="4" t="s">
        <v>71</v>
      </c>
      <c r="E16" s="6" t="n">
        <v>1</v>
      </c>
      <c r="F16" s="6" t="n">
        <v>230</v>
      </c>
      <c r="G16" s="9" t="n">
        <f aca="false">Parametres!$B$14*Parametres!$B$20/1000</f>
        <v>0.14</v>
      </c>
      <c r="H16" s="4" t="s">
        <v>24</v>
      </c>
      <c r="I16" s="8"/>
      <c r="J16" s="8"/>
      <c r="K16" s="9" t="n">
        <f aca="false">IF(H16="kVA",G16,IF(H16="kWm",G16/(I16*J16),G16/J16))</f>
        <v>0.14</v>
      </c>
      <c r="L16" s="9" t="n">
        <f aca="false">E16*K16</f>
        <v>0.14</v>
      </c>
      <c r="M16" s="6" t="n">
        <v>1</v>
      </c>
      <c r="N16" s="9" t="n">
        <f aca="false">L16*M16</f>
        <v>0.14</v>
      </c>
      <c r="O16" s="10" t="n">
        <f aca="false">IF(F16=Parametres!$B$5,K16*1000/(Parametres!$B$7*F16),K16*1000/F16)</f>
        <v>0.608695652173913</v>
      </c>
      <c r="P16" s="5" t="s">
        <v>76</v>
      </c>
      <c r="Q16" s="4" t="s">
        <v>26</v>
      </c>
      <c r="R16" s="11" t="s">
        <v>77</v>
      </c>
    </row>
    <row r="17" customFormat="false" ht="15" hidden="false" customHeight="false" outlineLevel="0" collapsed="false">
      <c r="A17" s="4" t="s">
        <v>80</v>
      </c>
      <c r="B17" s="5" t="s">
        <v>81</v>
      </c>
      <c r="C17" s="5" t="s">
        <v>70</v>
      </c>
      <c r="D17" s="4" t="s">
        <v>71</v>
      </c>
      <c r="E17" s="6" t="n">
        <v>1</v>
      </c>
      <c r="F17" s="6" t="n">
        <v>230</v>
      </c>
      <c r="G17" s="9" t="n">
        <f aca="false">Parametres!$B$15*Parametres!$B$22/1000</f>
        <v>1.44</v>
      </c>
      <c r="H17" s="4" t="s">
        <v>24</v>
      </c>
      <c r="I17" s="8"/>
      <c r="J17" s="8"/>
      <c r="K17" s="9" t="n">
        <f aca="false">IF(H17="kVA",G17,IF(H17="kWm",G17/(I17*J17),G17/J17))</f>
        <v>1.44</v>
      </c>
      <c r="L17" s="9" t="n">
        <f aca="false">E17*K17</f>
        <v>1.44</v>
      </c>
      <c r="M17" s="6" t="n">
        <v>1</v>
      </c>
      <c r="N17" s="9" t="n">
        <f aca="false">L17*M17</f>
        <v>1.44</v>
      </c>
      <c r="O17" s="10" t="n">
        <f aca="false">IF(F17=Parametres!$B$5,K17*1000/(Parametres!$B$7*F17),K17*1000/F17)</f>
        <v>6.26086956521739</v>
      </c>
      <c r="P17" s="5" t="s">
        <v>82</v>
      </c>
      <c r="Q17" s="4" t="s">
        <v>26</v>
      </c>
      <c r="R17" s="11" t="s">
        <v>77</v>
      </c>
    </row>
    <row r="18" customFormat="false" ht="15" hidden="false" customHeight="false" outlineLevel="0" collapsed="false">
      <c r="A18" s="4" t="s">
        <v>83</v>
      </c>
      <c r="B18" s="5" t="s">
        <v>84</v>
      </c>
      <c r="C18" s="5" t="s">
        <v>70</v>
      </c>
      <c r="D18" s="4" t="s">
        <v>71</v>
      </c>
      <c r="E18" s="6" t="n">
        <v>1</v>
      </c>
      <c r="F18" s="6" t="n">
        <v>230</v>
      </c>
      <c r="G18" s="9" t="n">
        <f aca="false">Parametres!$B$16*Parametres!$B$20/1000</f>
        <v>0.42</v>
      </c>
      <c r="H18" s="4" t="s">
        <v>24</v>
      </c>
      <c r="I18" s="8"/>
      <c r="J18" s="8"/>
      <c r="K18" s="9" t="n">
        <f aca="false">IF(H18="kVA",G18,IF(H18="kWm",G18/(I18*J18),G18/J18))</f>
        <v>0.42</v>
      </c>
      <c r="L18" s="9" t="n">
        <f aca="false">E18*K18</f>
        <v>0.42</v>
      </c>
      <c r="M18" s="6" t="n">
        <v>1</v>
      </c>
      <c r="N18" s="9" t="n">
        <f aca="false">L18*M18</f>
        <v>0.42</v>
      </c>
      <c r="O18" s="10" t="n">
        <f aca="false">IF(F18=Parametres!$B$5,K18*1000/(Parametres!$B$7*F18),K18*1000/F18)</f>
        <v>1.82608695652174</v>
      </c>
      <c r="P18" s="5" t="s">
        <v>85</v>
      </c>
      <c r="Q18" s="4" t="s">
        <v>26</v>
      </c>
      <c r="R18" s="11" t="s">
        <v>77</v>
      </c>
    </row>
    <row r="19" customFormat="false" ht="23.85" hidden="false" customHeight="false" outlineLevel="0" collapsed="false">
      <c r="A19" s="4" t="s">
        <v>86</v>
      </c>
      <c r="B19" s="5" t="s">
        <v>87</v>
      </c>
      <c r="C19" s="5" t="s">
        <v>88</v>
      </c>
      <c r="D19" s="4" t="s">
        <v>89</v>
      </c>
      <c r="E19" s="4" t="n">
        <f aca="false">Parametres!$B$35+Parametres!$B$36</f>
        <v>5</v>
      </c>
      <c r="F19" s="6" t="n">
        <v>400</v>
      </c>
      <c r="G19" s="9" t="n">
        <f aca="false">Parametres!$B$31</f>
        <v>29.5302503368816</v>
      </c>
      <c r="H19" s="4" t="s">
        <v>24</v>
      </c>
      <c r="I19" s="8"/>
      <c r="J19" s="8"/>
      <c r="K19" s="9" t="n">
        <f aca="false">IF(H19="kVA",G19,IF(H19="kWm",G19/(I19*J19),G19/J19))</f>
        <v>29.5302503368816</v>
      </c>
      <c r="L19" s="9" t="n">
        <f aca="false">E19*K19</f>
        <v>147.651251684408</v>
      </c>
      <c r="M19" s="6" t="n">
        <v>1</v>
      </c>
      <c r="N19" s="9" t="n">
        <f aca="false">L19*M19</f>
        <v>147.651251684408</v>
      </c>
      <c r="O19" s="10" t="s">
        <v>90</v>
      </c>
      <c r="P19" s="5" t="s">
        <v>91</v>
      </c>
      <c r="Q19" s="4" t="s">
        <v>26</v>
      </c>
      <c r="R19" s="11" t="s">
        <v>92</v>
      </c>
    </row>
    <row r="20" customFormat="false" ht="23.85" hidden="false" customHeight="false" outlineLevel="0" collapsed="false">
      <c r="A20" s="4" t="s">
        <v>93</v>
      </c>
      <c r="B20" s="5" t="s">
        <v>94</v>
      </c>
      <c r="C20" s="5" t="s">
        <v>90</v>
      </c>
      <c r="D20" s="4" t="s">
        <v>95</v>
      </c>
      <c r="E20" s="6" t="n">
        <v>1</v>
      </c>
      <c r="F20" s="6" t="n">
        <v>230</v>
      </c>
      <c r="G20" s="9" t="n">
        <f aca="false">Parametres!$B$15*Parametres!$B$23/1000</f>
        <v>1.5</v>
      </c>
      <c r="H20" s="4" t="s">
        <v>24</v>
      </c>
      <c r="I20" s="8"/>
      <c r="J20" s="8"/>
      <c r="K20" s="9" t="n">
        <f aca="false">IF(H20="kVA",G20,IF(H20="kWm",G20/(I20*J20),G20/J20))</f>
        <v>1.5</v>
      </c>
      <c r="L20" s="9" t="n">
        <f aca="false">E20*K20</f>
        <v>1.5</v>
      </c>
      <c r="M20" s="6" t="n">
        <v>1</v>
      </c>
      <c r="N20" s="9" t="n">
        <f aca="false">L20*M20</f>
        <v>1.5</v>
      </c>
      <c r="O20" s="10" t="n">
        <f aca="false">IF(F20=Parametres!$B$5,K20*1000/(Parametres!$B$7*F20),K20*1000/F20)</f>
        <v>6.52173913043478</v>
      </c>
      <c r="P20" s="5" t="s">
        <v>96</v>
      </c>
      <c r="Q20" s="4" t="s">
        <v>26</v>
      </c>
      <c r="R20" s="11" t="s">
        <v>97</v>
      </c>
    </row>
    <row r="21" customFormat="false" ht="23.85" hidden="false" customHeight="false" outlineLevel="0" collapsed="false">
      <c r="A21" s="4" t="s">
        <v>98</v>
      </c>
      <c r="B21" s="5" t="s">
        <v>99</v>
      </c>
      <c r="C21" s="5" t="s">
        <v>100</v>
      </c>
      <c r="D21" s="4" t="s">
        <v>95</v>
      </c>
      <c r="E21" s="6" t="n">
        <v>1</v>
      </c>
      <c r="F21" s="6" t="n">
        <v>230</v>
      </c>
      <c r="G21" s="7" t="n">
        <v>2.2</v>
      </c>
      <c r="H21" s="4" t="s">
        <v>47</v>
      </c>
      <c r="I21" s="8"/>
      <c r="J21" s="12" t="n">
        <v>1</v>
      </c>
      <c r="K21" s="9" t="n">
        <f aca="false">IF(H21="kVA",G21,IF(H21="kWm",G21/(I21*J21),G21/J21))</f>
        <v>2.2</v>
      </c>
      <c r="L21" s="9" t="n">
        <f aca="false">E21*K21</f>
        <v>2.2</v>
      </c>
      <c r="M21" s="6" t="n">
        <v>1</v>
      </c>
      <c r="N21" s="9" t="n">
        <f aca="false">L21*M21</f>
        <v>2.2</v>
      </c>
      <c r="O21" s="10" t="n">
        <f aca="false">IF(F21=Parametres!$B$5,K21*1000/(Parametres!$B$7*F21),K21*1000/F21)</f>
        <v>9.56521739130435</v>
      </c>
      <c r="P21" s="5" t="s">
        <v>101</v>
      </c>
      <c r="Q21" s="4" t="s">
        <v>26</v>
      </c>
      <c r="R21" s="11" t="s">
        <v>102</v>
      </c>
    </row>
    <row r="22" customFormat="false" ht="35.05" hidden="false" customHeight="false" outlineLevel="0" collapsed="false">
      <c r="A22" s="13" t="s">
        <v>103</v>
      </c>
      <c r="B22" s="14" t="s">
        <v>104</v>
      </c>
      <c r="C22" s="5" t="s">
        <v>105</v>
      </c>
      <c r="D22" s="4" t="s">
        <v>95</v>
      </c>
      <c r="E22" s="6" t="n">
        <v>1</v>
      </c>
      <c r="F22" s="6" t="n">
        <v>230</v>
      </c>
      <c r="G22" s="9" t="n">
        <f aca="false">5.8/4</f>
        <v>1.45</v>
      </c>
      <c r="H22" s="4" t="s">
        <v>47</v>
      </c>
      <c r="I22" s="8"/>
      <c r="J22" s="12" t="n">
        <v>1</v>
      </c>
      <c r="K22" s="9" t="n">
        <f aca="false">IF(H22="kVA",G22,IF(H22="kWm",G22/(I22*J22),G22/J22))</f>
        <v>1.45</v>
      </c>
      <c r="L22" s="9" t="n">
        <f aca="false">E22*K22</f>
        <v>1.45</v>
      </c>
      <c r="M22" s="6" t="n">
        <v>1</v>
      </c>
      <c r="N22" s="9" t="n">
        <f aca="false">L22*M22</f>
        <v>1.45</v>
      </c>
      <c r="O22" s="10" t="n">
        <f aca="false">IF(F22=Parametres!$B$5,K22*1000/(Parametres!$B$7*F22),K22*1000/F22)</f>
        <v>6.30434782608696</v>
      </c>
      <c r="P22" s="5" t="s">
        <v>106</v>
      </c>
      <c r="Q22" s="15" t="s">
        <v>44</v>
      </c>
      <c r="R22" s="11" t="s">
        <v>107</v>
      </c>
    </row>
    <row r="23" customFormat="false" ht="23.85" hidden="false" customHeight="false" outlineLevel="0" collapsed="false">
      <c r="A23" s="13" t="s">
        <v>108</v>
      </c>
      <c r="B23" s="14" t="s">
        <v>109</v>
      </c>
      <c r="C23" s="5" t="s">
        <v>110</v>
      </c>
      <c r="D23" s="4" t="s">
        <v>95</v>
      </c>
      <c r="E23" s="6" t="n">
        <v>4</v>
      </c>
      <c r="F23" s="6" t="n">
        <v>230</v>
      </c>
      <c r="G23" s="7" t="n">
        <v>0.065</v>
      </c>
      <c r="H23" s="4" t="s">
        <v>47</v>
      </c>
      <c r="I23" s="8"/>
      <c r="J23" s="12" t="n">
        <v>1</v>
      </c>
      <c r="K23" s="9" t="n">
        <f aca="false">IF(H23="kVA",G23,IF(H23="kWm",G23/(I23*J23),G23/J23))</f>
        <v>0.065</v>
      </c>
      <c r="L23" s="9" t="n">
        <f aca="false">E23*K23</f>
        <v>0.26</v>
      </c>
      <c r="M23" s="6" t="n">
        <v>1</v>
      </c>
      <c r="N23" s="9" t="n">
        <f aca="false">L23*M23</f>
        <v>0.26</v>
      </c>
      <c r="O23" s="10" t="n">
        <f aca="false">IF(F23=Parametres!$B$5,K23*1000/(Parametres!$B$7*F23),K23*1000/F23)</f>
        <v>0.282608695652174</v>
      </c>
      <c r="P23" s="5" t="s">
        <v>111</v>
      </c>
      <c r="Q23" s="15" t="s">
        <v>44</v>
      </c>
      <c r="R23" s="11" t="s">
        <v>112</v>
      </c>
    </row>
    <row r="24" customFormat="false" ht="15" hidden="false" customHeight="false" outlineLevel="0" collapsed="false">
      <c r="B24" s="16" t="s">
        <v>113</v>
      </c>
      <c r="L24" s="17" t="n">
        <f aca="false">SUM(L5:L23)</f>
        <v>290.907391380735</v>
      </c>
      <c r="N24" s="17" t="n">
        <f aca="false">SUM(N5:N23)</f>
        <v>262.815745071088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58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 t="s">
        <v>5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120</v>
      </c>
      <c r="G4" s="3" t="s">
        <v>121</v>
      </c>
    </row>
    <row r="5" customFormat="false" ht="15" hidden="false" customHeight="false" outlineLevel="0" collapsed="false">
      <c r="A5" s="11" t="s">
        <v>23</v>
      </c>
      <c r="B5" s="11" t="s">
        <v>122</v>
      </c>
      <c r="C5" s="18" t="n">
        <f aca="false">SUMIF(Bilan!$D$5:$D$23,A5,Bilan!$N$5:$N$23)</f>
        <v>80.565</v>
      </c>
      <c r="D5" s="19" t="n">
        <v>0.8</v>
      </c>
      <c r="E5" s="11" t="s">
        <v>123</v>
      </c>
      <c r="F5" s="18" t="n">
        <f aca="false">C5*D5</f>
        <v>64.452</v>
      </c>
      <c r="G5" s="20" t="n">
        <f aca="false">F5*1000/(Parametres!$B$7*Parametres!$B$5)</f>
        <v>93.0284488745244</v>
      </c>
    </row>
    <row r="6" customFormat="false" ht="23.85" hidden="false" customHeight="false" outlineLevel="0" collapsed="false">
      <c r="A6" s="11" t="s">
        <v>36</v>
      </c>
      <c r="B6" s="11" t="s">
        <v>124</v>
      </c>
      <c r="C6" s="18" t="n">
        <f aca="false">SUMIF(Bilan!$D$5:$D$23,A6,Bilan!$N$5:$N$23)</f>
        <v>20.8894933866795</v>
      </c>
      <c r="D6" s="19" t="n">
        <v>0.8</v>
      </c>
      <c r="E6" s="11" t="s">
        <v>123</v>
      </c>
      <c r="F6" s="18" t="n">
        <f aca="false">C6*D6</f>
        <v>16.7115947093436</v>
      </c>
      <c r="G6" s="20" t="n">
        <f aca="false">F6*1000/(Parametres!$B$7*Parametres!$B$5)</f>
        <v>24.1211092600686</v>
      </c>
    </row>
    <row r="7" customFormat="false" ht="15" hidden="false" customHeight="false" outlineLevel="0" collapsed="false">
      <c r="A7" s="11" t="s">
        <v>71</v>
      </c>
      <c r="B7" s="11" t="s">
        <v>125</v>
      </c>
      <c r="C7" s="18" t="n">
        <f aca="false">SUMIF(Bilan!$D$5:$D$23,A7,Bilan!$N$5:$N$23)</f>
        <v>8.3</v>
      </c>
      <c r="D7" s="19" t="n">
        <v>1</v>
      </c>
      <c r="E7" s="11" t="s">
        <v>126</v>
      </c>
      <c r="F7" s="18" t="n">
        <f aca="false">C7*D7</f>
        <v>8.3</v>
      </c>
      <c r="G7" s="20" t="n">
        <f aca="false">F7*1000/(Parametres!$B$7*Parametres!$B$5)</f>
        <v>11.9800180856847</v>
      </c>
    </row>
    <row r="8" customFormat="false" ht="15" hidden="false" customHeight="false" outlineLevel="0" collapsed="false">
      <c r="A8" s="11" t="s">
        <v>89</v>
      </c>
      <c r="B8" s="11" t="s">
        <v>127</v>
      </c>
      <c r="C8" s="18" t="n">
        <f aca="false">SUMIF(Bilan!$D$5:$D$23,A8,Bilan!$N$5:$N$23)</f>
        <v>147.651251684408</v>
      </c>
      <c r="D8" s="19" t="n">
        <v>0.2</v>
      </c>
      <c r="E8" s="11" t="s">
        <v>128</v>
      </c>
      <c r="F8" s="18" t="n">
        <f aca="false">C8*D8</f>
        <v>29.5302503368816</v>
      </c>
      <c r="G8" s="20" t="n">
        <f aca="false">F8*1000/(Parametres!$B$7*Parametres!$B$5)</f>
        <v>42.6232449530891</v>
      </c>
    </row>
    <row r="9" customFormat="false" ht="23.85" hidden="false" customHeight="false" outlineLevel="0" collapsed="false">
      <c r="A9" s="11" t="s">
        <v>95</v>
      </c>
      <c r="B9" s="11" t="s">
        <v>129</v>
      </c>
      <c r="C9" s="18" t="n">
        <f aca="false">SUMIF(Bilan!$D$5:$D$23,A9,Bilan!$N$5:$N$23)</f>
        <v>5.41</v>
      </c>
      <c r="D9" s="19" t="n">
        <v>1</v>
      </c>
      <c r="E9" s="11" t="s">
        <v>130</v>
      </c>
      <c r="F9" s="18" t="n">
        <f aca="false">C9*D9</f>
        <v>5.41</v>
      </c>
      <c r="G9" s="20" t="n">
        <f aca="false">F9*1000/(Parametres!$B$7*Parametres!$B$5)</f>
        <v>7.80866239078969</v>
      </c>
    </row>
    <row r="11" customFormat="false" ht="15" hidden="false" customHeight="false" outlineLevel="0" collapsed="false">
      <c r="B11" s="21" t="s">
        <v>131</v>
      </c>
    </row>
    <row r="12" customFormat="false" ht="15" hidden="false" customHeight="false" outlineLevel="0" collapsed="false">
      <c r="B12" s="22" t="s">
        <v>132</v>
      </c>
      <c r="C12" s="23" t="n">
        <f aca="false">SUM(F5:F9)</f>
        <v>124.403845046225</v>
      </c>
      <c r="D12" s="24" t="s">
        <v>24</v>
      </c>
    </row>
    <row r="13" customFormat="false" ht="23.85" hidden="false" customHeight="false" outlineLevel="0" collapsed="false">
      <c r="B13" s="22" t="s">
        <v>133</v>
      </c>
      <c r="C13" s="25" t="n">
        <v>0.9</v>
      </c>
      <c r="D13" s="24" t="s">
        <v>90</v>
      </c>
    </row>
    <row r="14" customFormat="false" ht="23.85" hidden="false" customHeight="false" outlineLevel="0" collapsed="false">
      <c r="B14" s="26" t="s">
        <v>134</v>
      </c>
      <c r="C14" s="27" t="n">
        <f aca="false">C12*C13*C23</f>
        <v>111.963460541603</v>
      </c>
      <c r="D14" s="24" t="s">
        <v>24</v>
      </c>
    </row>
    <row r="15" customFormat="false" ht="15" hidden="false" customHeight="false" outlineLevel="0" collapsed="false">
      <c r="B15" s="26" t="s">
        <v>135</v>
      </c>
      <c r="C15" s="28" t="n">
        <f aca="false">C14*1000/(Parametres!$B$7*Parametres!$B$5)</f>
        <v>161.605335207741</v>
      </c>
      <c r="D15" s="24" t="s">
        <v>136</v>
      </c>
    </row>
    <row r="16" customFormat="false" ht="15" hidden="false" customHeight="false" outlineLevel="0" collapsed="false">
      <c r="B16" s="22" t="s">
        <v>137</v>
      </c>
      <c r="C16" s="29" t="n">
        <f aca="false">Parametres!$B$8</f>
        <v>250</v>
      </c>
      <c r="D16" s="24" t="s">
        <v>24</v>
      </c>
    </row>
    <row r="17" customFormat="false" ht="15" hidden="false" customHeight="false" outlineLevel="0" collapsed="false">
      <c r="B17" s="22" t="s">
        <v>138</v>
      </c>
      <c r="C17" s="30" t="n">
        <f aca="false">1-C14/C16</f>
        <v>0.552146157833589</v>
      </c>
      <c r="D17" s="24" t="s">
        <v>90</v>
      </c>
    </row>
    <row r="18" customFormat="false" ht="15" hidden="false" customHeight="false" outlineLevel="0" collapsed="false">
      <c r="B18" s="26" t="s">
        <v>139</v>
      </c>
      <c r="C18" s="31" t="str">
        <f aca="false">IF(C14&lt;=C16,"Sous le plafond C4","DÉPASSEMENT : raccordement HTA nécessaire")</f>
        <v>Sous le plafond C4</v>
      </c>
      <c r="D18" s="24" t="s">
        <v>90</v>
      </c>
    </row>
    <row r="19" customFormat="false" ht="15" hidden="false" customHeight="false" outlineLevel="0" collapsed="false">
      <c r="B19" s="22" t="s">
        <v>140</v>
      </c>
      <c r="C19" s="23" t="n">
        <f aca="false">Bilan!L24</f>
        <v>290.907391380735</v>
      </c>
      <c r="D19" s="24" t="s">
        <v>24</v>
      </c>
    </row>
    <row r="20" customFormat="false" ht="15" hidden="false" customHeight="false" outlineLevel="0" collapsed="false">
      <c r="B20" s="22" t="s">
        <v>141</v>
      </c>
      <c r="C20" s="30" t="n">
        <f aca="false">C14/C19</f>
        <v>0.384876644110657</v>
      </c>
      <c r="D20" s="24" t="s">
        <v>90</v>
      </c>
    </row>
    <row r="21" customFormat="false" ht="23.85" hidden="false" customHeight="false" outlineLevel="0" collapsed="false">
      <c r="B21" s="22" t="s">
        <v>142</v>
      </c>
      <c r="C21" s="32" t="n">
        <f aca="false">Parametres!$B$12*Parametres!$B$24/1000</f>
        <v>120</v>
      </c>
      <c r="D21" s="24" t="s">
        <v>24</v>
      </c>
    </row>
    <row r="22" customFormat="false" ht="23.85" hidden="false" customHeight="false" outlineLevel="0" collapsed="false">
      <c r="B22" s="22" t="s">
        <v>143</v>
      </c>
      <c r="C22" s="23" t="n">
        <f aca="false">SUMIF(Bilan!$D$5:$D$23,"G1",Bilan!$L$5:$L$23)</f>
        <v>107.42</v>
      </c>
      <c r="D22" s="24" t="s">
        <v>24</v>
      </c>
    </row>
    <row r="23" customFormat="false" ht="15" hidden="false" customHeight="false" outlineLevel="0" collapsed="false">
      <c r="B23" s="24" t="s">
        <v>144</v>
      </c>
      <c r="C23" s="25" t="n">
        <v>1</v>
      </c>
      <c r="D23" s="24" t="s">
        <v>90</v>
      </c>
    </row>
    <row r="24" customFormat="false" ht="15" hidden="false" customHeight="false" outlineLevel="0" collapsed="false">
      <c r="B24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3" t="s">
        <v>148</v>
      </c>
      <c r="B4" s="3" t="s">
        <v>149</v>
      </c>
      <c r="C4" s="3" t="s">
        <v>9</v>
      </c>
      <c r="D4" s="3"/>
      <c r="E4" s="3"/>
      <c r="F4" s="3" t="s">
        <v>150</v>
      </c>
    </row>
    <row r="5" customFormat="false" ht="15" hidden="false" customHeight="false" outlineLevel="0" collapsed="false">
      <c r="A5" s="24" t="s">
        <v>151</v>
      </c>
      <c r="B5" s="23" t="n">
        <f aca="false">Synthese!C14</f>
        <v>111.963460541603</v>
      </c>
      <c r="C5" s="24" t="s">
        <v>24</v>
      </c>
      <c r="F5" s="33" t="s">
        <v>152</v>
      </c>
    </row>
    <row r="6" customFormat="false" ht="35.05" hidden="false" customHeight="false" outlineLevel="0" collapsed="false">
      <c r="A6" s="24" t="s">
        <v>153</v>
      </c>
      <c r="B6" s="23" t="n">
        <f aca="false">ROUNDUP(B5,0)</f>
        <v>112</v>
      </c>
      <c r="C6" s="24" t="s">
        <v>24</v>
      </c>
      <c r="F6" s="33" t="s">
        <v>154</v>
      </c>
    </row>
    <row r="7" customFormat="false" ht="23.85" hidden="false" customHeight="false" outlineLevel="0" collapsed="false">
      <c r="A7" s="24" t="s">
        <v>155</v>
      </c>
      <c r="B7" s="25" t="n">
        <v>12.79</v>
      </c>
      <c r="C7" s="24" t="s">
        <v>156</v>
      </c>
      <c r="F7" s="33" t="s">
        <v>157</v>
      </c>
    </row>
    <row r="8" customFormat="false" ht="15" hidden="false" customHeight="false" outlineLevel="0" collapsed="false">
      <c r="A8" s="24" t="s">
        <v>158</v>
      </c>
      <c r="B8" s="25" t="n">
        <v>222.53</v>
      </c>
      <c r="C8" s="24" t="s">
        <v>159</v>
      </c>
      <c r="F8" s="33" t="s">
        <v>160</v>
      </c>
    </row>
    <row r="9" customFormat="false" ht="15" hidden="false" customHeight="false" outlineLevel="0" collapsed="false">
      <c r="A9" s="24" t="s">
        <v>161</v>
      </c>
      <c r="B9" s="25" t="n">
        <v>291.88</v>
      </c>
      <c r="C9" s="24" t="s">
        <v>159</v>
      </c>
      <c r="F9" s="33" t="s">
        <v>162</v>
      </c>
    </row>
    <row r="11" customFormat="false" ht="15" hidden="false" customHeight="false" outlineLevel="0" collapsed="false">
      <c r="A11" s="21" t="s">
        <v>163</v>
      </c>
    </row>
    <row r="12" customFormat="false" ht="15" hidden="false" customHeight="false" outlineLevel="0" collapsed="false">
      <c r="A12" s="3" t="s">
        <v>148</v>
      </c>
      <c r="B12" s="3" t="s">
        <v>149</v>
      </c>
      <c r="C12" s="3" t="s">
        <v>9</v>
      </c>
      <c r="D12" s="3"/>
      <c r="E12" s="3"/>
      <c r="F12" s="3" t="s">
        <v>164</v>
      </c>
    </row>
    <row r="13" customFormat="false" ht="15" hidden="false" customHeight="false" outlineLevel="0" collapsed="false">
      <c r="A13" s="24" t="s">
        <v>165</v>
      </c>
      <c r="B13" s="34" t="n">
        <v>8</v>
      </c>
      <c r="C13" s="24" t="s">
        <v>166</v>
      </c>
      <c r="F13" s="22" t="s">
        <v>167</v>
      </c>
    </row>
    <row r="14" customFormat="false" ht="15" hidden="false" customHeight="false" outlineLevel="0" collapsed="false">
      <c r="A14" s="24" t="s">
        <v>168</v>
      </c>
      <c r="B14" s="34" t="n">
        <v>5</v>
      </c>
      <c r="C14" s="24" t="s">
        <v>169</v>
      </c>
      <c r="F14" s="22" t="s">
        <v>170</v>
      </c>
    </row>
    <row r="15" customFormat="false" ht="15" hidden="false" customHeight="false" outlineLevel="0" collapsed="false">
      <c r="A15" s="24" t="s">
        <v>171</v>
      </c>
      <c r="B15" s="34" t="n">
        <v>52</v>
      </c>
      <c r="C15" s="24" t="s">
        <v>172</v>
      </c>
      <c r="F15" s="22" t="s">
        <v>173</v>
      </c>
    </row>
    <row r="16" customFormat="false" ht="15" hidden="false" customHeight="false" outlineLevel="0" collapsed="false">
      <c r="A16" s="24" t="s">
        <v>174</v>
      </c>
      <c r="B16" s="35" t="n">
        <f aca="false">B13*B14*B15</f>
        <v>2080</v>
      </c>
      <c r="C16" s="24" t="s">
        <v>166</v>
      </c>
      <c r="F16" s="22" t="s">
        <v>175</v>
      </c>
    </row>
    <row r="17" customFormat="false" ht="15" hidden="false" customHeight="false" outlineLevel="0" collapsed="false">
      <c r="A17" s="24" t="s">
        <v>176</v>
      </c>
      <c r="B17" s="36" t="n">
        <f aca="false">5/12</f>
        <v>0.416666666666667</v>
      </c>
      <c r="C17" s="24" t="s">
        <v>90</v>
      </c>
      <c r="F17" s="22" t="s">
        <v>177</v>
      </c>
    </row>
    <row r="18" customFormat="false" ht="23.85" hidden="false" customHeight="false" outlineLevel="0" collapsed="false">
      <c r="A18" s="24" t="s">
        <v>178</v>
      </c>
      <c r="B18" s="35" t="n">
        <f aca="false">B5*B16</f>
        <v>232883.997926534</v>
      </c>
      <c r="C18" s="24" t="s">
        <v>179</v>
      </c>
      <c r="F18" s="22" t="s">
        <v>180</v>
      </c>
    </row>
    <row r="19" customFormat="false" ht="23.85" hidden="false" customHeight="false" outlineLevel="0" collapsed="false">
      <c r="A19" s="24" t="s">
        <v>181</v>
      </c>
      <c r="B19" s="35" t="n">
        <f aca="false">B18*B17</f>
        <v>97034.9991360557</v>
      </c>
      <c r="C19" s="24" t="s">
        <v>179</v>
      </c>
      <c r="F19" s="22" t="s">
        <v>182</v>
      </c>
    </row>
    <row r="20" customFormat="false" ht="15" hidden="false" customHeight="false" outlineLevel="0" collapsed="false">
      <c r="A20" s="24" t="s">
        <v>183</v>
      </c>
      <c r="B20" s="35" t="n">
        <f aca="false">B18*(1-B17)</f>
        <v>135848.998790478</v>
      </c>
      <c r="C20" s="24" t="s">
        <v>179</v>
      </c>
      <c r="F20" s="22" t="s">
        <v>77</v>
      </c>
    </row>
    <row r="22" customFormat="false" ht="15" hidden="false" customHeight="false" outlineLevel="0" collapsed="false">
      <c r="A22" s="21" t="s">
        <v>184</v>
      </c>
    </row>
    <row r="23" customFormat="false" ht="15" hidden="false" customHeight="false" outlineLevel="0" collapsed="false">
      <c r="A23" s="3" t="s">
        <v>185</v>
      </c>
      <c r="B23" s="3" t="s">
        <v>186</v>
      </c>
      <c r="C23" s="3" t="s">
        <v>187</v>
      </c>
      <c r="D23" s="3" t="s">
        <v>9</v>
      </c>
      <c r="E23" s="3"/>
      <c r="F23" s="3" t="s">
        <v>188</v>
      </c>
    </row>
    <row r="24" customFormat="false" ht="15" hidden="false" customHeight="false" outlineLevel="0" collapsed="false">
      <c r="A24" s="24" t="s">
        <v>189</v>
      </c>
      <c r="B24" s="37" t="n">
        <v>18.15</v>
      </c>
      <c r="C24" s="37" t="n">
        <v>31.08</v>
      </c>
      <c r="D24" s="24" t="s">
        <v>190</v>
      </c>
      <c r="F24" s="22" t="s">
        <v>191</v>
      </c>
    </row>
    <row r="25" customFormat="false" ht="15" hidden="false" customHeight="false" outlineLevel="0" collapsed="false">
      <c r="A25" s="24" t="s">
        <v>192</v>
      </c>
      <c r="B25" s="37" t="n">
        <v>7.12</v>
      </c>
      <c r="C25" s="37" t="n">
        <v>5.86</v>
      </c>
      <c r="D25" s="24" t="s">
        <v>193</v>
      </c>
      <c r="F25" s="22" t="s">
        <v>77</v>
      </c>
    </row>
    <row r="26" customFormat="false" ht="15" hidden="false" customHeight="false" outlineLevel="0" collapsed="false">
      <c r="A26" s="24" t="s">
        <v>194</v>
      </c>
      <c r="B26" s="37" t="n">
        <v>2.19</v>
      </c>
      <c r="C26" s="37" t="n">
        <v>2.07</v>
      </c>
      <c r="D26" s="24" t="s">
        <v>193</v>
      </c>
      <c r="F26" s="22" t="s">
        <v>77</v>
      </c>
    </row>
    <row r="27" customFormat="false" ht="23.85" hidden="false" customHeight="false" outlineLevel="0" collapsed="false">
      <c r="A27" s="24" t="s">
        <v>195</v>
      </c>
      <c r="B27" s="38" t="n">
        <f aca="false">B24*$B$6</f>
        <v>2032.8</v>
      </c>
      <c r="C27" s="38" t="n">
        <f aca="false">C24*$B$6</f>
        <v>3480.96</v>
      </c>
      <c r="D27" s="24" t="s">
        <v>159</v>
      </c>
      <c r="F27" s="22" t="s">
        <v>196</v>
      </c>
    </row>
    <row r="28" customFormat="false" ht="15" hidden="false" customHeight="false" outlineLevel="0" collapsed="false">
      <c r="A28" s="24" t="s">
        <v>197</v>
      </c>
      <c r="B28" s="38" t="n">
        <f aca="false">(B25*$B$19+B26*$B$20)/100</f>
        <v>9883.98501199863</v>
      </c>
      <c r="C28" s="38" t="n">
        <f aca="false">(C25*$B$19+C26*$B$20)/100</f>
        <v>8498.32522433576</v>
      </c>
      <c r="D28" s="24" t="s">
        <v>159</v>
      </c>
      <c r="F28" s="22" t="s">
        <v>198</v>
      </c>
    </row>
    <row r="29" customFormat="false" ht="15" hidden="false" customHeight="false" outlineLevel="0" collapsed="false">
      <c r="A29" s="16" t="s">
        <v>199</v>
      </c>
      <c r="B29" s="39" t="n">
        <f aca="false">B27+B28</f>
        <v>11916.7850119986</v>
      </c>
      <c r="C29" s="39" t="n">
        <f aca="false">C27+C28</f>
        <v>11979.2852243358</v>
      </c>
      <c r="D29" s="24" t="s">
        <v>159</v>
      </c>
      <c r="F29" s="22" t="s">
        <v>200</v>
      </c>
    </row>
    <row r="30" customFormat="false" ht="15" hidden="false" customHeight="false" outlineLevel="0" collapsed="false">
      <c r="A30" s="16" t="s">
        <v>201</v>
      </c>
      <c r="C30" s="39" t="n">
        <f aca="false">C29-B29</f>
        <v>62.5002123371251</v>
      </c>
      <c r="D30" s="24" t="s">
        <v>159</v>
      </c>
      <c r="F30" s="22" t="s">
        <v>202</v>
      </c>
    </row>
    <row r="32" customFormat="false" ht="15" hidden="false" customHeight="false" outlineLevel="0" collapsed="false">
      <c r="A32" s="21" t="s">
        <v>203</v>
      </c>
    </row>
    <row r="33" customFormat="false" ht="30" hidden="false" customHeight="true" outlineLevel="0" collapsed="false">
      <c r="A33" s="40" t="str">
        <f aca="false">IF(C30&gt;0,"Option retenue : courte utilisation, "&amp;TEXT(B6,"0")&amp;" kVA sur les quatre plages. Elle reste la moins chère même avec l'énergie majorante de H12 ; l'énergie réelle, plus faible, renforce ce choix.","La longue utilisation devient intéressante : réexaminer H12.")</f>
        <v>Option retenue : courte utilisation, 112 kVA sur les quatre plages. Elle reste la moins chère même avec l'énergie majorante de H12 ; l'énergie réelle, plus faible, renforce ce choix.</v>
      </c>
      <c r="B33" s="40"/>
      <c r="C33" s="40"/>
      <c r="D33" s="40"/>
      <c r="E33" s="40"/>
      <c r="F33" s="40"/>
    </row>
    <row r="34" customFormat="false" ht="15" hidden="false" customHeight="false" outlineLevel="0" collapsed="false">
      <c r="A34" s="40"/>
      <c r="B34" s="40"/>
      <c r="C34" s="40"/>
      <c r="D34" s="40"/>
      <c r="E34" s="40"/>
      <c r="F34" s="40"/>
    </row>
    <row r="36" customFormat="false" ht="15" hidden="false" customHeight="true" outlineLevel="0" collapsed="false">
      <c r="A36" s="41" t="s">
        <v>204</v>
      </c>
      <c r="B36" s="41"/>
      <c r="C36" s="41"/>
      <c r="D36" s="41"/>
      <c r="E36" s="41"/>
      <c r="F36" s="41"/>
    </row>
    <row r="37" customFormat="false" ht="15" hidden="false" customHeight="false" outlineLevel="0" collapsed="false">
      <c r="A37" s="41"/>
      <c r="B37" s="41"/>
      <c r="C37" s="41"/>
      <c r="D37" s="41"/>
      <c r="E37" s="41"/>
      <c r="F37" s="41"/>
    </row>
  </sheetData>
  <mergeCells count="2">
    <mergeCell ref="A33:F34"/>
    <mergeCell ref="A36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15" hidden="false" customHeight="false" outlineLevel="0" collapsed="false">
      <c r="A4" s="3" t="s">
        <v>207</v>
      </c>
      <c r="B4" s="3" t="s">
        <v>149</v>
      </c>
      <c r="C4" s="3" t="s">
        <v>9</v>
      </c>
      <c r="D4" s="3" t="s">
        <v>150</v>
      </c>
    </row>
    <row r="5" customFormat="false" ht="15" hidden="false" customHeight="false" outlineLevel="0" collapsed="false">
      <c r="A5" s="24" t="s">
        <v>208</v>
      </c>
      <c r="B5" s="42" t="n">
        <v>400</v>
      </c>
      <c r="C5" s="24" t="s">
        <v>209</v>
      </c>
      <c r="D5" s="24" t="s">
        <v>210</v>
      </c>
    </row>
    <row r="6" customFormat="false" ht="15" hidden="false" customHeight="false" outlineLevel="0" collapsed="false">
      <c r="A6" s="24" t="s">
        <v>211</v>
      </c>
      <c r="B6" s="42" t="n">
        <v>230</v>
      </c>
      <c r="C6" s="24" t="s">
        <v>209</v>
      </c>
      <c r="D6" s="24" t="s">
        <v>77</v>
      </c>
    </row>
    <row r="7" customFormat="false" ht="15" hidden="false" customHeight="false" outlineLevel="0" collapsed="false">
      <c r="A7" s="24" t="s">
        <v>212</v>
      </c>
      <c r="B7" s="43" t="n">
        <f aca="false">SQRT(3)</f>
        <v>1.73205080756888</v>
      </c>
      <c r="C7" s="24" t="s">
        <v>90</v>
      </c>
      <c r="D7" s="24" t="s">
        <v>213</v>
      </c>
    </row>
    <row r="8" customFormat="false" ht="15" hidden="false" customHeight="false" outlineLevel="0" collapsed="false">
      <c r="A8" s="24" t="s">
        <v>214</v>
      </c>
      <c r="B8" s="42" t="n">
        <v>250</v>
      </c>
      <c r="C8" s="24" t="s">
        <v>24</v>
      </c>
      <c r="D8" s="24" t="s">
        <v>215</v>
      </c>
    </row>
    <row r="10" customFormat="false" ht="15" hidden="false" customHeight="false" outlineLevel="0" collapsed="false">
      <c r="A10" s="21" t="s">
        <v>216</v>
      </c>
    </row>
    <row r="11" customFormat="false" ht="15" hidden="false" customHeight="false" outlineLevel="0" collapsed="false">
      <c r="A11" s="3" t="s">
        <v>217</v>
      </c>
      <c r="B11" s="3" t="s">
        <v>218</v>
      </c>
      <c r="C11" s="3" t="s">
        <v>9</v>
      </c>
      <c r="D11" s="3" t="s">
        <v>150</v>
      </c>
    </row>
    <row r="12" customFormat="false" ht="15" hidden="false" customHeight="false" outlineLevel="0" collapsed="false">
      <c r="A12" s="24" t="s">
        <v>219</v>
      </c>
      <c r="B12" s="42" t="n">
        <v>400</v>
      </c>
      <c r="C12" s="24" t="s">
        <v>220</v>
      </c>
      <c r="D12" s="24" t="s">
        <v>221</v>
      </c>
    </row>
    <row r="13" customFormat="false" ht="15" hidden="false" customHeight="false" outlineLevel="0" collapsed="false">
      <c r="A13" s="24" t="s">
        <v>222</v>
      </c>
      <c r="B13" s="42" t="n">
        <v>100</v>
      </c>
      <c r="C13" s="24" t="s">
        <v>220</v>
      </c>
      <c r="D13" s="24" t="s">
        <v>221</v>
      </c>
    </row>
    <row r="14" customFormat="false" ht="15" hidden="false" customHeight="false" outlineLevel="0" collapsed="false">
      <c r="A14" s="24" t="s">
        <v>223</v>
      </c>
      <c r="B14" s="42" t="n">
        <v>20</v>
      </c>
      <c r="C14" s="24" t="s">
        <v>220</v>
      </c>
      <c r="D14" s="24" t="s">
        <v>221</v>
      </c>
    </row>
    <row r="15" customFormat="false" ht="15" hidden="false" customHeight="false" outlineLevel="0" collapsed="false">
      <c r="A15" s="24" t="s">
        <v>224</v>
      </c>
      <c r="B15" s="42" t="n">
        <v>60</v>
      </c>
      <c r="C15" s="24" t="s">
        <v>220</v>
      </c>
      <c r="D15" s="24" t="s">
        <v>225</v>
      </c>
    </row>
    <row r="16" customFormat="false" ht="15" hidden="false" customHeight="false" outlineLevel="0" collapsed="false">
      <c r="A16" s="24" t="s">
        <v>226</v>
      </c>
      <c r="B16" s="42" t="n">
        <v>60</v>
      </c>
      <c r="C16" s="24" t="s">
        <v>220</v>
      </c>
      <c r="D16" s="24" t="s">
        <v>221</v>
      </c>
    </row>
    <row r="18" customFormat="false" ht="15" hidden="false" customHeight="false" outlineLevel="0" collapsed="false">
      <c r="A18" s="21" t="s">
        <v>227</v>
      </c>
    </row>
    <row r="19" customFormat="false" ht="15" hidden="false" customHeight="false" outlineLevel="0" collapsed="false">
      <c r="A19" s="3" t="s">
        <v>228</v>
      </c>
      <c r="B19" s="3" t="s">
        <v>229</v>
      </c>
      <c r="C19" s="3" t="s">
        <v>9</v>
      </c>
      <c r="D19" s="3" t="s">
        <v>150</v>
      </c>
    </row>
    <row r="20" customFormat="false" ht="15" hidden="false" customHeight="false" outlineLevel="0" collapsed="false">
      <c r="A20" s="24" t="s">
        <v>230</v>
      </c>
      <c r="B20" s="42" t="n">
        <v>7</v>
      </c>
      <c r="C20" s="24" t="s">
        <v>231</v>
      </c>
      <c r="D20" s="24" t="s">
        <v>232</v>
      </c>
    </row>
    <row r="21" customFormat="false" ht="15" hidden="false" customHeight="false" outlineLevel="0" collapsed="false">
      <c r="A21" s="24" t="s">
        <v>233</v>
      </c>
      <c r="B21" s="42" t="n">
        <v>14</v>
      </c>
      <c r="C21" s="24" t="s">
        <v>231</v>
      </c>
      <c r="D21" s="24" t="s">
        <v>77</v>
      </c>
    </row>
    <row r="22" customFormat="false" ht="15" hidden="false" customHeight="false" outlineLevel="0" collapsed="false">
      <c r="A22" s="24" t="s">
        <v>234</v>
      </c>
      <c r="B22" s="42" t="n">
        <v>24</v>
      </c>
      <c r="C22" s="24" t="s">
        <v>231</v>
      </c>
      <c r="D22" s="24" t="s">
        <v>77</v>
      </c>
    </row>
    <row r="23" customFormat="false" ht="15" hidden="false" customHeight="false" outlineLevel="0" collapsed="false">
      <c r="A23" s="24" t="s">
        <v>235</v>
      </c>
      <c r="B23" s="42" t="n">
        <v>25</v>
      </c>
      <c r="C23" s="24" t="s">
        <v>231</v>
      </c>
      <c r="D23" s="24" t="s">
        <v>236</v>
      </c>
    </row>
    <row r="24" customFormat="false" ht="15" hidden="false" customHeight="false" outlineLevel="0" collapsed="false">
      <c r="A24" s="24" t="s">
        <v>237</v>
      </c>
      <c r="B24" s="42" t="n">
        <v>300</v>
      </c>
      <c r="C24" s="24" t="s">
        <v>231</v>
      </c>
      <c r="D24" s="24" t="s">
        <v>238</v>
      </c>
    </row>
    <row r="26" customFormat="false" ht="15" hidden="false" customHeight="false" outlineLevel="0" collapsed="false">
      <c r="A26" s="21" t="s">
        <v>239</v>
      </c>
    </row>
    <row r="27" customFormat="false" ht="15" hidden="false" customHeight="false" outlineLevel="0" collapsed="false">
      <c r="A27" s="3" t="s">
        <v>240</v>
      </c>
      <c r="B27" s="3" t="s">
        <v>149</v>
      </c>
      <c r="C27" s="3" t="s">
        <v>9</v>
      </c>
      <c r="D27" s="3" t="s">
        <v>150</v>
      </c>
    </row>
    <row r="28" customFormat="false" ht="15" hidden="false" customHeight="false" outlineLevel="0" collapsed="false">
      <c r="A28" s="24" t="s">
        <v>241</v>
      </c>
      <c r="B28" s="42" t="n">
        <v>32</v>
      </c>
      <c r="C28" s="24" t="s">
        <v>136</v>
      </c>
      <c r="D28" s="24" t="s">
        <v>242</v>
      </c>
    </row>
    <row r="29" customFormat="false" ht="15" hidden="false" customHeight="false" outlineLevel="0" collapsed="false">
      <c r="A29" s="24" t="s">
        <v>243</v>
      </c>
      <c r="B29" s="42" t="n">
        <v>16</v>
      </c>
      <c r="C29" s="24" t="s">
        <v>136</v>
      </c>
      <c r="D29" s="24" t="s">
        <v>244</v>
      </c>
    </row>
    <row r="30" customFormat="false" ht="15" hidden="false" customHeight="false" outlineLevel="0" collapsed="false">
      <c r="A30" s="24" t="s">
        <v>245</v>
      </c>
      <c r="B30" s="42" t="n">
        <v>2</v>
      </c>
      <c r="C30" s="24" t="s">
        <v>90</v>
      </c>
      <c r="D30" s="24" t="s">
        <v>244</v>
      </c>
    </row>
    <row r="31" customFormat="false" ht="15" hidden="false" customHeight="false" outlineLevel="0" collapsed="false">
      <c r="A31" s="16" t="s">
        <v>246</v>
      </c>
      <c r="B31" s="17" t="n">
        <f aca="false">($B$7*$B$5*B28+B30*$B$6*B29)/1000</f>
        <v>29.5302503368816</v>
      </c>
      <c r="C31" s="24" t="s">
        <v>24</v>
      </c>
      <c r="D31" s="44" t="s">
        <v>247</v>
      </c>
    </row>
    <row r="33" customFormat="false" ht="15" hidden="false" customHeight="false" outlineLevel="0" collapsed="false">
      <c r="A33" s="21" t="s">
        <v>248</v>
      </c>
    </row>
    <row r="34" customFormat="false" ht="15" hidden="false" customHeight="false" outlineLevel="0" collapsed="false">
      <c r="A34" s="3" t="s">
        <v>249</v>
      </c>
      <c r="B34" s="3" t="s">
        <v>149</v>
      </c>
      <c r="C34" s="3" t="s">
        <v>9</v>
      </c>
      <c r="D34" s="3" t="s">
        <v>164</v>
      </c>
    </row>
    <row r="35" customFormat="false" ht="35.05" hidden="false" customHeight="false" outlineLevel="0" collapsed="false">
      <c r="A35" s="45" t="s">
        <v>250</v>
      </c>
      <c r="B35" s="6" t="n">
        <v>4</v>
      </c>
      <c r="C35" s="45" t="s">
        <v>90</v>
      </c>
      <c r="D35" s="11" t="s">
        <v>251</v>
      </c>
    </row>
    <row r="36" customFormat="false" ht="15" hidden="false" customHeight="false" outlineLevel="0" collapsed="false">
      <c r="A36" s="45" t="s">
        <v>252</v>
      </c>
      <c r="B36" s="6" t="n">
        <v>1</v>
      </c>
      <c r="C36" s="45" t="s">
        <v>90</v>
      </c>
      <c r="D36" s="11" t="s">
        <v>253</v>
      </c>
    </row>
    <row r="37" customFormat="false" ht="23.85" hidden="false" customHeight="false" outlineLevel="0" collapsed="false">
      <c r="A37" s="45" t="s">
        <v>254</v>
      </c>
      <c r="B37" s="6"/>
      <c r="C37" s="45" t="s">
        <v>90</v>
      </c>
      <c r="D37" s="11" t="s">
        <v>255</v>
      </c>
    </row>
    <row r="38" customFormat="false" ht="23.85" hidden="false" customHeight="false" outlineLevel="0" collapsed="false">
      <c r="A38" s="45" t="s">
        <v>256</v>
      </c>
      <c r="B38" s="6"/>
      <c r="C38" s="45" t="s">
        <v>90</v>
      </c>
      <c r="D38" s="11" t="s">
        <v>257</v>
      </c>
    </row>
    <row r="39" customFormat="false" ht="15" hidden="false" customHeight="false" outlineLevel="0" collapsed="false">
      <c r="A39" s="45" t="s">
        <v>258</v>
      </c>
      <c r="B39" s="6"/>
      <c r="C39" s="45" t="s">
        <v>90</v>
      </c>
      <c r="D39" s="11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5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3" t="s">
        <v>262</v>
      </c>
      <c r="B4" s="3" t="s">
        <v>240</v>
      </c>
      <c r="C4" s="3" t="s">
        <v>263</v>
      </c>
      <c r="D4" s="3" t="s">
        <v>264</v>
      </c>
      <c r="E4" s="3" t="s">
        <v>265</v>
      </c>
      <c r="F4" s="3" t="s">
        <v>258</v>
      </c>
    </row>
    <row r="5" customFormat="false" ht="15" hidden="false" customHeight="false" outlineLevel="0" collapsed="false">
      <c r="A5" s="11" t="n">
        <v>1</v>
      </c>
      <c r="B5" s="11" t="s">
        <v>266</v>
      </c>
      <c r="C5" s="11" t="s">
        <v>267</v>
      </c>
      <c r="D5" s="11" t="s">
        <v>268</v>
      </c>
      <c r="E5" s="11" t="s">
        <v>269</v>
      </c>
      <c r="F5" s="11" t="s">
        <v>270</v>
      </c>
    </row>
    <row r="6" customFormat="false" ht="23.85" hidden="false" customHeight="false" outlineLevel="0" collapsed="false">
      <c r="A6" s="11" t="n">
        <v>2</v>
      </c>
      <c r="B6" s="11" t="s">
        <v>271</v>
      </c>
      <c r="C6" s="11" t="s">
        <v>272</v>
      </c>
      <c r="D6" s="11" t="s">
        <v>273</v>
      </c>
      <c r="E6" s="11" t="s">
        <v>274</v>
      </c>
      <c r="F6" s="11" t="s">
        <v>275</v>
      </c>
    </row>
    <row r="7" customFormat="false" ht="15" hidden="false" customHeight="false" outlineLevel="0" collapsed="false">
      <c r="A7" s="11" t="n">
        <v>3</v>
      </c>
      <c r="B7" s="11" t="s">
        <v>276</v>
      </c>
      <c r="C7" s="11" t="s">
        <v>277</v>
      </c>
      <c r="D7" s="11" t="s">
        <v>278</v>
      </c>
      <c r="E7" s="11" t="s">
        <v>279</v>
      </c>
      <c r="F7" s="11" t="s">
        <v>270</v>
      </c>
    </row>
    <row r="8" customFormat="false" ht="23.85" hidden="false" customHeight="false" outlineLevel="0" collapsed="false">
      <c r="A8" s="11" t="n">
        <v>4</v>
      </c>
      <c r="B8" s="11" t="s">
        <v>280</v>
      </c>
      <c r="C8" s="11" t="s">
        <v>281</v>
      </c>
      <c r="D8" s="11" t="s">
        <v>90</v>
      </c>
      <c r="E8" s="11" t="s">
        <v>282</v>
      </c>
      <c r="F8" s="11" t="s">
        <v>283</v>
      </c>
    </row>
    <row r="9" customFormat="false" ht="23.85" hidden="false" customHeight="false" outlineLevel="0" collapsed="false">
      <c r="A9" s="11" t="n">
        <v>5</v>
      </c>
      <c r="B9" s="11" t="s">
        <v>284</v>
      </c>
      <c r="C9" s="11" t="s">
        <v>285</v>
      </c>
      <c r="D9" s="11" t="s">
        <v>286</v>
      </c>
      <c r="E9" s="11" t="s">
        <v>287</v>
      </c>
      <c r="F9" s="11" t="s">
        <v>288</v>
      </c>
    </row>
    <row r="10" customFormat="false" ht="15" hidden="false" customHeight="false" outlineLevel="0" collapsed="false">
      <c r="A10" s="11" t="n">
        <v>6</v>
      </c>
      <c r="B10" s="11" t="s">
        <v>289</v>
      </c>
      <c r="C10" s="11" t="s">
        <v>290</v>
      </c>
      <c r="D10" s="11" t="s">
        <v>291</v>
      </c>
      <c r="E10" s="11" t="s">
        <v>292</v>
      </c>
      <c r="F10" s="11" t="s">
        <v>270</v>
      </c>
    </row>
    <row r="11" customFormat="false" ht="23.85" hidden="false" customHeight="false" outlineLevel="0" collapsed="false">
      <c r="A11" s="11" t="n">
        <v>7</v>
      </c>
      <c r="B11" s="11" t="s">
        <v>293</v>
      </c>
      <c r="C11" s="11" t="s">
        <v>294</v>
      </c>
      <c r="D11" s="11" t="s">
        <v>295</v>
      </c>
      <c r="E11" s="11" t="s">
        <v>296</v>
      </c>
      <c r="F11" s="11" t="s">
        <v>297</v>
      </c>
    </row>
    <row r="12" customFormat="false" ht="15" hidden="false" customHeight="false" outlineLevel="0" collapsed="false">
      <c r="A12" s="11" t="n">
        <v>8</v>
      </c>
      <c r="B12" s="11" t="s">
        <v>298</v>
      </c>
      <c r="C12" s="11" t="s">
        <v>299</v>
      </c>
      <c r="D12" s="11" t="s">
        <v>300</v>
      </c>
      <c r="E12" s="11" t="s">
        <v>301</v>
      </c>
      <c r="F12" s="11" t="s">
        <v>270</v>
      </c>
    </row>
    <row r="13" customFormat="false" ht="23.85" hidden="false" customHeight="false" outlineLevel="0" collapsed="false">
      <c r="A13" s="11" t="n">
        <v>9</v>
      </c>
      <c r="B13" s="11" t="s">
        <v>302</v>
      </c>
      <c r="C13" s="11" t="s">
        <v>303</v>
      </c>
      <c r="D13" s="11" t="s">
        <v>304</v>
      </c>
      <c r="E13" s="11" t="s">
        <v>305</v>
      </c>
      <c r="F13" s="11" t="s">
        <v>306</v>
      </c>
    </row>
    <row r="14" customFormat="false" ht="15" hidden="false" customHeight="false" outlineLevel="0" collapsed="false">
      <c r="A14" s="11" t="n">
        <v>10</v>
      </c>
      <c r="B14" s="11" t="s">
        <v>307</v>
      </c>
      <c r="C14" s="11" t="s">
        <v>308</v>
      </c>
      <c r="D14" s="11" t="s">
        <v>309</v>
      </c>
      <c r="E14" s="11" t="s">
        <v>310</v>
      </c>
      <c r="F14" s="11" t="s">
        <v>311</v>
      </c>
    </row>
    <row r="15" customFormat="false" ht="23.85" hidden="false" customHeight="false" outlineLevel="0" collapsed="false">
      <c r="A15" s="11" t="n">
        <v>11</v>
      </c>
      <c r="B15" s="11" t="s">
        <v>312</v>
      </c>
      <c r="C15" s="11" t="s">
        <v>90</v>
      </c>
      <c r="D15" s="11" t="s">
        <v>313</v>
      </c>
      <c r="E15" s="11" t="s">
        <v>314</v>
      </c>
      <c r="F15" s="11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2026-09-26T18:25:12Z</dcterms:created>
  <dc:creator>openpyxl</dc:creator>
  <dc:description/>
  <dc:language>en-US</dc:language>
  <cp:lastModifiedBy/>
  <dcterms:modified xsi:type="dcterms:W3CDTF">2026-09-26T18:25:12Z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